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Profit &amp; Loss" sheetId="1" r:id="rId5"/>
    <sheet state="visible" name="Detailed P&amp;L" sheetId="2" r:id="rId6"/>
    <sheet state="visible" name="Summary P&amp;L" sheetId="3" r:id="rId7"/>
    <sheet state="visible" name="Example Balance Sheet" sheetId="4" r:id="rId8"/>
    <sheet state="visible" name="Balance Sheet" sheetId="5" r:id="rId9"/>
    <sheet state="visible" name="Example Cashflow Statement" sheetId="6" r:id="rId10"/>
    <sheet state="visible" name="Cashflow Statement" sheetId="7" r:id="rId11"/>
  </sheets>
  <definedNames>
    <definedName localSheetId="3" name="sample_figures">'Example Balance Sheet'!$B$2:$E$28</definedName>
    <definedName localSheetId="4" name="Current_Liabilities">'Balance Sheet'!$A$40</definedName>
    <definedName localSheetId="4" name="Inventory">'Balance Sheet'!$B$21</definedName>
    <definedName localSheetId="0" name="What_is_a_profit_and_loss_statement?">'Example Profit &amp; Loss'!$A$2:$A$3</definedName>
    <definedName localSheetId="0" name="_Toc250359346">'Example Profit &amp; Loss'!$B$3</definedName>
    <definedName localSheetId="4" name="Other_current_assets">'Balance Sheet'!$B$27</definedName>
    <definedName localSheetId="4" name="Working_Capital_Funds____________________________________________Current_Assets_Less_Current_Liabilities">'Balance Sheet'!$A$67</definedName>
    <definedName localSheetId="4" name="Leverage_Ratio__Total_Liabilities___Total_Assets">'Balance Sheet'!$A$68</definedName>
    <definedName localSheetId="4" name="Balance_Sheet_Ratios">'Balance Sheet'!$A$63</definedName>
    <definedName localSheetId="4" name="Debtors">'Balance Sheet'!$B$13</definedName>
    <definedName localSheetId="0" name="Sample_profit_and_loss">'Example Profit &amp; Loss'!$E$3:$H$34</definedName>
    <definedName localSheetId="4" name="Instructions">'Balance Sheet'!$A$2:$A$8</definedName>
    <definedName localSheetId="4" name="Net_Assets">'Balance Sheet'!$A$57</definedName>
    <definedName localSheetId="1" name="Instructions">'Detailed P&amp;L'!$A$2:$A$4</definedName>
    <definedName localSheetId="4" name="Total_Shareholders_Funds__Equity">'Balance Sheet'!$A$62</definedName>
    <definedName localSheetId="6" name="Cashflows_from_Operations">'Cashflow Statement'!$A$2:$C$13</definedName>
    <definedName localSheetId="4" name="Current_Ratio__Current_Assets___Current_Liabilities">'Balance Sheet'!$A$65</definedName>
    <definedName localSheetId="2" name="Instructions">'Summary P&amp;L'!$A$1:$A$4</definedName>
    <definedName localSheetId="6" name="Financing_Activities">'Cashflow Statement'!$A$22:$C$30</definedName>
    <definedName localSheetId="6" name="For_the_Year_Ending">'Cashflow Statement'!$D$3:$E$4</definedName>
    <definedName localSheetId="6" name="Investing_Activities">'Cashflow Statement'!$A$14:$C$21</definedName>
    <definedName localSheetId="4" name="Long_Term_Liabilities">'Balance Sheet'!$A$51</definedName>
    <definedName localSheetId="4" name="Cash_on_hand">'Balance Sheet'!$B$12</definedName>
    <definedName localSheetId="2" name="Profit_and_Loss_Ratios">'Summary P&amp;L'!$A$25:$N$32</definedName>
    <definedName localSheetId="4" name="Quick_Ratio___Current_Assets_less_inventory_____Current_Liabilities_less_bank_overdraft">'Balance Sheet'!$A$66</definedName>
    <definedName localSheetId="4" name="Short_term_Investments">'Balance Sheet'!$B$26</definedName>
    <definedName localSheetId="0" name="Tip_Hint">'Example Profit &amp; Loss'!$A$36</definedName>
    <definedName localSheetId="6" name="Date_and_starting_cash">'Cashflow Statement'!$D$2:$E$4</definedName>
    <definedName localSheetId="1" name="Jan_13">'Detailed P&amp;L'!$B$5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Insert start month and year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Insert start month and year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5">
      <text>
        <t xml:space="preserve">Indicates if the business has enough cash assets to pay debts payble within the next twelve months</t>
      </text>
    </comment>
    <comment authorId="0" ref="A63">
      <text>
        <t xml:space="preserve">These ratios assist in showing the financial health of the business
</t>
      </text>
    </comment>
    <comment authorId="0" ref="B26">
      <text>
        <t xml:space="preserve">This can be money invested for a period less than twelve months
</t>
      </text>
    </comment>
    <comment authorId="0" ref="A57">
      <text>
        <t xml:space="preserve">Net Assets shows the balance of assets after all liabilities have been paid.  This amount should equal the total of shareholders funds
</t>
      </text>
    </comment>
    <comment authorId="0" ref="A51">
      <text>
        <t xml:space="preserve">All loans that have a maturity date of more than twelve months are shown in this part of the balance sheet
</t>
      </text>
    </comment>
    <comment authorId="0" ref="B47">
      <text>
        <t xml:space="preserve">This is the monies that is collected from wages and salaries to cover any workcover insurance that has not yet been paid
</t>
      </text>
    </comment>
    <comment authorId="0" ref="B14">
      <text>
        <t xml:space="preserve">These are expenses that are paid in advance
</t>
      </text>
    </comment>
    <comment authorId="0" ref="B45">
      <text>
        <t xml:space="preserve">This is monies that have been collected to pay superannuation but not yet paid
</t>
      </text>
    </comment>
    <comment authorId="0" ref="B12">
      <text>
        <t xml:space="preserve">Include cash in bank, petty cash etc.
</t>
      </text>
    </comment>
    <comment authorId="0" ref="B43">
      <text>
        <t xml:space="preserve">This is monies owning to suppliers etc</t>
      </text>
    </comment>
    <comment authorId="0" ref="A68">
      <text>
        <t xml:space="preserve">Show the portion of assets funded from debt
</t>
      </text>
    </comment>
    <comment authorId="0" ref="A66">
      <text>
        <t xml:space="preserve">Similar to the current ratio, however removes the stock value to show "true liquid assets" that can be converted to cash quickly
</t>
      </text>
    </comment>
    <comment authorId="0" ref="A62">
      <text>
        <t xml:space="preserve">This shows how much the business owes the owner
</t>
      </text>
    </comment>
    <comment authorId="0" ref="A29">
      <text>
        <t xml:space="preserve">These are assets that have a "life" of more than twelve months. It is possible that these assets will also be depreciated and this value will be shown as a negative amount against each fixed asset - for more information, you should seek the advice of your accountant or professional advisor</t>
      </text>
    </comment>
    <comment authorId="0" ref="B27">
      <text>
        <t xml:space="preserve">This would be any other assets that will be converted into cash within twelve months from the date of the statement
</t>
      </text>
    </comment>
    <comment authorId="0" ref="B21">
      <text>
        <t xml:space="preserve">Insert the value of stock on hand as at each date of the balance sheet statement
</t>
      </text>
    </comment>
    <comment authorId="0" ref="B48">
      <text>
        <t xml:space="preserve">Any portion of long term debt that is payable within the next twelve months from the date of the statement must be shown here
</t>
      </text>
    </comment>
    <comment authorId="0" ref="B46">
      <text>
        <t xml:space="preserve">This is the money that is collected from Wages and salaries but not yet paid to ATO
</t>
      </text>
    </comment>
    <comment authorId="0" ref="B13">
      <text>
        <t xml:space="preserve">This is the outstanding monies owed by your customers - also called accounts receivable
</t>
      </text>
    </comment>
    <comment authorId="0" ref="A11">
      <text>
        <t xml:space="preserve">All assets owned by the business that will be/can be converted into cash within twelve months from the date of the statement</t>
      </text>
    </comment>
    <comment authorId="0" ref="B44">
      <text>
        <t xml:space="preserve">This is monies that are due from collection and payment of GST</t>
      </text>
    </comment>
    <comment authorId="0" ref="A40">
      <text>
        <t xml:space="preserve">These are all debts that are due in the next twelve months that have not yet been paid
</t>
      </text>
    </comment>
    <comment authorId="0" ref="A69">
      <text>
        <t xml:space="preserve">Shows the extent to which the business is reliant on debt financing versus equity to fund the assets of the business
</t>
      </text>
    </comment>
    <comment authorId="0" ref="A67">
      <text>
        <t xml:space="preserve">Provides the dollar amount available in cash assets to pay out all debts due in the next twelve months
</t>
      </text>
    </comment>
  </commentList>
</comments>
</file>

<file path=xl/sharedStrings.xml><?xml version="1.0" encoding="utf-8"?>
<sst xmlns="http://schemas.openxmlformats.org/spreadsheetml/2006/main" count="505" uniqueCount="238">
  <si>
    <t>Example profit and loss statement</t>
  </si>
  <si>
    <t>What is a profit and loss statement?
The profit and loss statement is a summary of a business’s income and expenses over a specific period.  It should be prepared at regular intervals (usually monthly and at financial year end) to show the results of operations for a given period.   
Calculating the cost of goods sold varies depending on whether the business is retail, wholesale, manufacturing, or a service business. In retailing and wholesaling, computing the cost of goods sold during the reporting period involves beginning and ending inventories. This, of course, includes purchases made during the reporting period. In manufacturing, it involves finished-goods inventories, plus raw materials inventories, goods-in-process inventories, direct labour, and direct factory overhead costs.
In the case of a service business, the revenue is being derived from the activities of individuals rather than the sale of a product and hence the calculation of cost of goods sold is a smaller task due to the low-level use of materials required to earn the income.</t>
  </si>
  <si>
    <t xml:space="preserve">The image  below shows how profit and loss are calculated. </t>
  </si>
  <si>
    <t>Joe’s Motorbike Tyres</t>
  </si>
  <si>
    <t>Profit and Loss Statement</t>
  </si>
  <si>
    <t>For the Period ended Year One</t>
  </si>
  <si>
    <t>Income</t>
  </si>
  <si>
    <t>Sales</t>
  </si>
  <si>
    <t>( 1,000 tyres @ $ 52 each)</t>
  </si>
  <si>
    <t xml:space="preserve">   Total Sales</t>
  </si>
  <si>
    <t>Cost of Goods Sold</t>
  </si>
  <si>
    <t>Opening Stock</t>
  </si>
  <si>
    <t xml:space="preserve"> $                -   </t>
  </si>
  <si>
    <t xml:space="preserve">Stock Purchases </t>
  </si>
  <si>
    <t>Less Closing Stock</t>
  </si>
  <si>
    <t xml:space="preserve">   Total Cost of Goods Sold(COGS)</t>
  </si>
  <si>
    <t>( See note below)</t>
  </si>
  <si>
    <t>Gross Profit</t>
  </si>
  <si>
    <t xml:space="preserve">Expenses </t>
  </si>
  <si>
    <t>Advertising</t>
  </si>
  <si>
    <t>Bank Service Charges</t>
  </si>
  <si>
    <t>Insurance</t>
  </si>
  <si>
    <t>Payroll</t>
  </si>
  <si>
    <t>Professional Fees (Legal, Accounting)</t>
  </si>
  <si>
    <t>Utilities &amp; Telephone</t>
  </si>
  <si>
    <t>Other: Computer Software</t>
  </si>
  <si>
    <t xml:space="preserve"> Expenses total</t>
  </si>
  <si>
    <t>Net Profit before Tax</t>
  </si>
  <si>
    <r>
      <rPr>
        <rFont val="Arial"/>
        <b/>
        <color theme="1"/>
        <sz val="11.0"/>
        <u/>
      </rPr>
      <t>Note</t>
    </r>
    <r>
      <rPr>
        <rFont val="Arial"/>
        <b val="0"/>
        <color theme="1"/>
        <sz val="11.0"/>
        <u/>
      </rPr>
      <t>; Cost of Goods Sold calculation:</t>
    </r>
  </si>
  <si>
    <t xml:space="preserve">Towards the end of the year, Joe manages to purchase 100 more tyres on credit from his supplier for an order in the new year.  This leaves him with $3,120 of stock on hand at the end of the year.  </t>
  </si>
  <si>
    <t>Joe’s Cost of Goods Calculation</t>
  </si>
  <si>
    <t>Opening Stock                                                        Nil</t>
  </si>
  <si>
    <t>Add Stock Purchased during the year</t>
  </si>
  <si>
    <t xml:space="preserve"> (1100 tyres @ 31.20 each)</t>
  </si>
  <si>
    <r>
      <rPr>
        <rFont val="Arial"/>
        <color theme="1"/>
        <sz val="10.0"/>
      </rPr>
      <t>Equals Stock available to sell</t>
    </r>
  </si>
  <si>
    <t>Less Stock on hand at end of year</t>
  </si>
  <si>
    <t xml:space="preserve"> (100 tyres @ 31.20 each)</t>
  </si>
  <si>
    <t xml:space="preserve">Cost of Goods Sold                                         </t>
  </si>
  <si>
    <t>Where a business is a service business, that is, you are selling services not goods or products, then the profit and loss statement will generally not have a cost of goods sold calculation.  In some instances, where labour costs can be directly attributed to sales, then you may consider including these costs as a cost of goods (services) sold.</t>
  </si>
  <si>
    <r>
      <rPr>
        <rFont val="Arial"/>
        <b/>
        <color rgb="FF000000"/>
        <sz val="11.0"/>
      </rPr>
      <t xml:space="preserve">Tip: </t>
    </r>
    <r>
      <rPr>
        <rFont val="Arial"/>
        <color rgb="FF000000"/>
        <sz val="11.0"/>
      </rPr>
      <t xml:space="preserve">Regularly produce profit and loss information </t>
    </r>
    <r>
      <rPr>
        <rFont val="Calibri"/>
        <color rgb="FF000000"/>
        <sz val="10.0"/>
      </rPr>
      <t xml:space="preserve">(monthly) </t>
    </r>
    <r>
      <rPr>
        <rFont val="Arial"/>
        <color rgb="FF000000"/>
        <sz val="11.0"/>
      </rPr>
      <t xml:space="preserve"> and compare against previous month’s activities to ensure your profit expectations are being met.
</t>
    </r>
    <r>
      <rPr>
        <rFont val="Arial"/>
        <b/>
        <color rgb="FF000000"/>
        <sz val="11.0"/>
      </rPr>
      <t>Hint:</t>
    </r>
    <r>
      <rPr>
        <rFont val="Arial"/>
        <color rgb="FF000000"/>
        <sz val="11.0"/>
      </rPr>
      <t xml:space="preserve"> Only those businesses that have goods (products) to sell will use the calculation of cost of goods sold</t>
    </r>
  </si>
  <si>
    <t xml:space="preserve">Profit and Loss Statement </t>
  </si>
  <si>
    <t>Instructions</t>
  </si>
  <si>
    <t xml:space="preserve">Give careful thought to the headings. </t>
  </si>
  <si>
    <t>Expand the sales income and expenses area if your business has distinct categories (e.g. a restaurant may have food sales and beverage sales listed separately and cost of sales for each also separated).</t>
  </si>
  <si>
    <t>Month</t>
  </si>
  <si>
    <t/>
  </si>
  <si>
    <t>Sale of goods/services</t>
  </si>
  <si>
    <t>Sundry Income (e.g. Commission earned, frachise fees etc.)</t>
  </si>
  <si>
    <t>Etc.</t>
  </si>
  <si>
    <t>Total Sales</t>
  </si>
  <si>
    <t>Less Discounts/Commissions</t>
  </si>
  <si>
    <t>Sales Discounts given</t>
  </si>
  <si>
    <t>Sales Commissions paid</t>
  </si>
  <si>
    <t>Total Discounts/ Commissions</t>
  </si>
  <si>
    <t>Total Net Income</t>
  </si>
  <si>
    <t>Cost of Sales</t>
  </si>
  <si>
    <t>Stock Purchased</t>
  </si>
  <si>
    <t>Total Cost of Sales</t>
  </si>
  <si>
    <t>Expenses</t>
  </si>
  <si>
    <t xml:space="preserve">General &amp; Administrative </t>
  </si>
  <si>
    <t>Bank charges</t>
  </si>
  <si>
    <t>Credit card commission</t>
  </si>
  <si>
    <t>Consultant fees</t>
  </si>
  <si>
    <t>Office Supplies</t>
  </si>
  <si>
    <t>License fees</t>
  </si>
  <si>
    <t>Business insurance</t>
  </si>
  <si>
    <t>Total General &amp; Administrative</t>
  </si>
  <si>
    <t>Marketing &amp; Promotional</t>
  </si>
  <si>
    <t>Promotion - General</t>
  </si>
  <si>
    <t>Promotion - Other</t>
  </si>
  <si>
    <t>Total Marketing &amp; Promotional</t>
  </si>
  <si>
    <t>Operating Expenses</t>
  </si>
  <si>
    <t>Newspapers &amp; magazines</t>
  </si>
  <si>
    <t>Parking/Taxis/Tolls</t>
  </si>
  <si>
    <t>Entertainment/Meals</t>
  </si>
  <si>
    <t>Travel/Accomodation</t>
  </si>
  <si>
    <t>Laundry/dry cleaning</t>
  </si>
  <si>
    <t>Cleaning &amp; cleaning products</t>
  </si>
  <si>
    <t>Sundry supplies</t>
  </si>
  <si>
    <t>Equipment hire</t>
  </si>
  <si>
    <t>Total Operating Expenses</t>
  </si>
  <si>
    <t>Motor Vehicle Expenses</t>
  </si>
  <si>
    <t>Fuel</t>
  </si>
  <si>
    <t>Vehicle service costs</t>
  </si>
  <si>
    <t>Tyres &amp; other replacement costs</t>
  </si>
  <si>
    <t>Registrations</t>
  </si>
  <si>
    <t>Total Motor Vehicle Expenses</t>
  </si>
  <si>
    <t>Website Expenses</t>
  </si>
  <si>
    <t>Domain name registration</t>
  </si>
  <si>
    <t>Hosting expenses</t>
  </si>
  <si>
    <t>etc</t>
  </si>
  <si>
    <t>Total Website Expenses</t>
  </si>
  <si>
    <t>Employment Expenses</t>
  </si>
  <si>
    <t>Permanent</t>
  </si>
  <si>
    <t>Salaries/Wages</t>
  </si>
  <si>
    <t>PAYE</t>
  </si>
  <si>
    <t>Superannuation</t>
  </si>
  <si>
    <t>Other - Employee Benefits</t>
  </si>
  <si>
    <t>Recruitment costs</t>
  </si>
  <si>
    <t>Total Perm. Employment Expenses</t>
  </si>
  <si>
    <t>Casual</t>
  </si>
  <si>
    <t>Total Casual Employment Expenses</t>
  </si>
  <si>
    <t>Workcover Insurance</t>
  </si>
  <si>
    <t>Total Employment Expenses</t>
  </si>
  <si>
    <t>Occupancy Costs</t>
  </si>
  <si>
    <t>Electricity/Gas</t>
  </si>
  <si>
    <t>Telephones</t>
  </si>
  <si>
    <t>Property Insurance</t>
  </si>
  <si>
    <t>Rates</t>
  </si>
  <si>
    <t>Rent</t>
  </si>
  <si>
    <t>Repair &amp; maintenance</t>
  </si>
  <si>
    <t>Waste removal</t>
  </si>
  <si>
    <t>Water</t>
  </si>
  <si>
    <t>Total Occupancy Costs</t>
  </si>
  <si>
    <t>Other Expenses</t>
  </si>
  <si>
    <t>Add an expense description here</t>
  </si>
  <si>
    <t>Total Other Expenses</t>
  </si>
  <si>
    <t>Total Expenses</t>
  </si>
  <si>
    <t>Month Net Profit / (Loss)</t>
  </si>
  <si>
    <t>Total Year to Date Net Profit / (Loss)</t>
  </si>
  <si>
    <t>Expand the sales income and expenses area if your business has distinct categories</t>
  </si>
  <si>
    <t xml:space="preserve"> (e.g. a restaurant may have food sales and beverage sales listed separately and cost of sales for each also separated).</t>
  </si>
  <si>
    <t>Profit &amp; Loss Statement</t>
  </si>
  <si>
    <t>Less Total Disc/Comm</t>
  </si>
  <si>
    <t>Less Total Cost of Gooods Sold</t>
  </si>
  <si>
    <t>Monthly Net Profit / (Loss)</t>
  </si>
  <si>
    <t>Profit and Loss Ratios</t>
  </si>
  <si>
    <r>
      <rPr>
        <rFont val="Arial"/>
        <color theme="1"/>
        <sz val="10.0"/>
      </rPr>
      <t xml:space="preserve">Gross Margin
</t>
    </r>
    <r>
      <rPr>
        <rFont val="Arial"/>
        <color theme="1"/>
        <sz val="10.0"/>
      </rPr>
      <t>(Gross Profit / Net Income)</t>
    </r>
  </si>
  <si>
    <r>
      <rPr>
        <rFont val="Arial"/>
        <b/>
        <color theme="1"/>
        <sz val="10.0"/>
      </rPr>
      <t xml:space="preserve">Net Margin
</t>
    </r>
    <r>
      <rPr>
        <rFont val="Arial"/>
        <color theme="1"/>
        <sz val="10.0"/>
      </rPr>
      <t>(Net Profit / Net Income)</t>
    </r>
  </si>
  <si>
    <r>
      <rPr>
        <rFont val="Arial"/>
        <b/>
        <color theme="1"/>
        <sz val="10.0"/>
      </rPr>
      <t xml:space="preserve">Mark Up
</t>
    </r>
    <r>
      <rPr>
        <rFont val="Arial"/>
        <color theme="1"/>
        <sz val="10.0"/>
      </rPr>
      <t>((Net Income Less Cost of Goods Sold) / (Cost of Goods Sold)) x 100</t>
    </r>
  </si>
  <si>
    <r>
      <rPr>
        <rFont val="Arial"/>
        <b/>
        <color theme="1"/>
        <sz val="10.0"/>
      </rPr>
      <t>Break Even</t>
    </r>
    <r>
      <rPr>
        <rFont val="Arial"/>
        <color theme="1"/>
        <sz val="10.0"/>
      </rPr>
      <t xml:space="preserve">
( Expenses/((1-(Cost of Goods Sold/ Net Income))</t>
    </r>
  </si>
  <si>
    <t>Example Balance Sheet</t>
  </si>
  <si>
    <t>Balance Sheet</t>
  </si>
  <si>
    <t>As at end of Year One</t>
  </si>
  <si>
    <t>Current Assets</t>
  </si>
  <si>
    <t>Cash</t>
  </si>
  <si>
    <t>Debtors</t>
  </si>
  <si>
    <t>Stock</t>
  </si>
  <si>
    <t>Total Current Assets</t>
  </si>
  <si>
    <t>Non-current Assets</t>
  </si>
  <si>
    <t>Computer</t>
  </si>
  <si>
    <t>Store Fit Out</t>
  </si>
  <si>
    <t>Office Equipment</t>
  </si>
  <si>
    <t>Total Non-current Assets</t>
  </si>
  <si>
    <t>Total Assets</t>
  </si>
  <si>
    <t>Current Liabilities</t>
  </si>
  <si>
    <t>Credit Card</t>
  </si>
  <si>
    <t>Creditors</t>
  </si>
  <si>
    <t>Total Current Liabilities</t>
  </si>
  <si>
    <t>Non-current Liabilities</t>
  </si>
  <si>
    <t>Total Non-current Liabilities</t>
  </si>
  <si>
    <t>Total Liabilities</t>
  </si>
  <si>
    <t>Net Assets</t>
  </si>
  <si>
    <t>Shareholders’ Equity</t>
  </si>
  <si>
    <t>Owners’ Funds</t>
  </si>
  <si>
    <t>Current Year Profit</t>
  </si>
  <si>
    <t>Total Shareholders' Equity</t>
  </si>
  <si>
    <t xml:space="preserve">Instructions </t>
  </si>
  <si>
    <t>The Balance Sheet shows the financial position of the business as at a point in time</t>
  </si>
  <si>
    <t xml:space="preserve">Prepare a balance sheet for the start of the business, six months later and then at the end of the first year. </t>
  </si>
  <si>
    <t xml:space="preserve">Draw the information from the Profit &amp; Loss Statement and the Cash Flow Statement. </t>
  </si>
  <si>
    <t>A Balance Sheet brings together the results from the Profit &amp; Loss Statement and the Cash Flow Statement.</t>
  </si>
  <si>
    <t>(Download  from the Business Victoria website at http://www.business.vic.gov.au.)</t>
  </si>
  <si>
    <t>Fill in the figures below, expanding or reducing the assets, liabilities and shareholders equity areas.</t>
  </si>
  <si>
    <t>Start of Business</t>
  </si>
  <si>
    <t xml:space="preserve"> Assets</t>
  </si>
  <si>
    <t>Cash on hand</t>
  </si>
  <si>
    <t>Prepaid Expenses</t>
  </si>
  <si>
    <t>General</t>
  </si>
  <si>
    <t>Workcover</t>
  </si>
  <si>
    <t>Total Prepaid expenses</t>
  </si>
  <si>
    <t>Inventory</t>
  </si>
  <si>
    <t>Tyres</t>
  </si>
  <si>
    <t>Parts</t>
  </si>
  <si>
    <t>Total Inventory</t>
  </si>
  <si>
    <t>Short term Investments</t>
  </si>
  <si>
    <t>Other current assets</t>
  </si>
  <si>
    <t>Fixed Assets</t>
  </si>
  <si>
    <t>Leasehold</t>
  </si>
  <si>
    <t>Buildings &amp; improvements</t>
  </si>
  <si>
    <t>Furniture &amp; Fixtures</t>
  </si>
  <si>
    <t>Total Fixed Assets</t>
  </si>
  <si>
    <t>Liabilities</t>
  </si>
  <si>
    <t>Bank Overdraft</t>
  </si>
  <si>
    <t>Credit Card Debt</t>
  </si>
  <si>
    <t>GST collected</t>
  </si>
  <si>
    <t>PAYG Witholding Payable</t>
  </si>
  <si>
    <t>Workcover Insurance Payable</t>
  </si>
  <si>
    <t>Current portion of long term debt</t>
  </si>
  <si>
    <t>Long Term Liabilities</t>
  </si>
  <si>
    <t>Motor Vehicle Loan</t>
  </si>
  <si>
    <t>Equipment Finance</t>
  </si>
  <si>
    <t>Long term Loans</t>
  </si>
  <si>
    <t>Total Long Term Liabilities</t>
  </si>
  <si>
    <t>Shareholders Funds ( Equity)</t>
  </si>
  <si>
    <t xml:space="preserve">Owners Funds </t>
  </si>
  <si>
    <t>Retained Earnings</t>
  </si>
  <si>
    <t>Total Shareholders Funds (Equity)</t>
  </si>
  <si>
    <t>Balance Sheet Ratios</t>
  </si>
  <si>
    <r>
      <rPr>
        <rFont val="Arial"/>
        <b/>
        <color theme="1"/>
        <sz val="10.0"/>
      </rPr>
      <t xml:space="preserve">Current Ratio </t>
    </r>
    <r>
      <rPr>
        <rFont val="Arial"/>
        <b val="0"/>
        <color theme="1"/>
        <sz val="10.0"/>
      </rPr>
      <t>(Current Assets / Current Liabilities)</t>
    </r>
  </si>
  <si>
    <r>
      <rPr>
        <rFont val="Arial"/>
        <b/>
        <color theme="1"/>
        <sz val="10.0"/>
      </rPr>
      <t xml:space="preserve">Quick Ratio </t>
    </r>
    <r>
      <rPr>
        <rFont val="Arial"/>
        <color theme="1"/>
        <sz val="10.0"/>
      </rPr>
      <t>( Current Assets less inventory) / (Current Liabilities less bank overdraft)</t>
    </r>
  </si>
  <si>
    <r>
      <rPr>
        <rFont val="Arial"/>
        <b/>
        <color theme="1"/>
        <sz val="10.0"/>
      </rPr>
      <t xml:space="preserve">Working Capital Funds
</t>
    </r>
    <r>
      <rPr>
        <rFont val="Arial"/>
        <color theme="1"/>
        <sz val="10.0"/>
      </rPr>
      <t xml:space="preserve"> (Current Assets Less Current Liabilities)</t>
    </r>
  </si>
  <si>
    <r>
      <rPr>
        <rFont val="Arial"/>
        <b/>
        <color theme="1"/>
        <sz val="10.0"/>
      </rPr>
      <t xml:space="preserve">Leverage Ratio </t>
    </r>
    <r>
      <rPr>
        <rFont val="Arial"/>
        <color theme="1"/>
        <sz val="10.0"/>
      </rPr>
      <t>(Total Liabilities / Total Assets)</t>
    </r>
  </si>
  <si>
    <r>
      <rPr>
        <rFont val="Arial"/>
        <b/>
        <color theme="1"/>
        <sz val="10.0"/>
      </rPr>
      <t>Debt to Equity Ratio</t>
    </r>
    <r>
      <rPr>
        <rFont val="Arial"/>
        <color theme="1"/>
        <sz val="10.0"/>
      </rPr>
      <t xml:space="preserve"> 
 (Total Liabilities / Total Shareholders Funds)</t>
    </r>
  </si>
  <si>
    <t>Example cashflow statement</t>
  </si>
  <si>
    <t>Cash Flow Statement</t>
  </si>
  <si>
    <t>Cashflows from Operations</t>
  </si>
  <si>
    <t>Date and starting cash</t>
  </si>
  <si>
    <t>Cash receipts from customers</t>
  </si>
  <si>
    <t>For the Year Ending</t>
  </si>
  <si>
    <t>(enter positive amounts)</t>
  </si>
  <si>
    <t>Cash Sales</t>
  </si>
  <si>
    <t>Cash at Beginning of Year</t>
  </si>
  <si>
    <t>Cash collected from customers (debtors)</t>
  </si>
  <si>
    <t>Funding from Creditors</t>
  </si>
  <si>
    <t>Stock purchased, not yet paid</t>
  </si>
  <si>
    <t>Cash paid for</t>
  </si>
  <si>
    <t>(enter negative amounts)</t>
  </si>
  <si>
    <t>Inventory (stock)purchases</t>
  </si>
  <si>
    <t>Funding to Debtors</t>
  </si>
  <si>
    <t>Sales made not yet collected</t>
  </si>
  <si>
    <t>Net Cash Flow from Operations</t>
  </si>
  <si>
    <t>Investing Activities</t>
  </si>
  <si>
    <t>Cash receipts from</t>
  </si>
  <si>
    <t>Sale of property and equipment</t>
  </si>
  <si>
    <t>Matured Investments</t>
  </si>
  <si>
    <t>Purchase of property and equipment</t>
  </si>
  <si>
    <t>Purchase of investments</t>
  </si>
  <si>
    <t>Net Cash Flow from Investing Activities</t>
  </si>
  <si>
    <t>Financing Activities</t>
  </si>
  <si>
    <t>Increase in short term debt</t>
  </si>
  <si>
    <t>Increase in long term debt</t>
  </si>
  <si>
    <t>Increase in equity (proceeds from owners)</t>
  </si>
  <si>
    <t>Repayment of loans</t>
  </si>
  <si>
    <t>Dividends</t>
  </si>
  <si>
    <t>Net Cash Flow from Financing Activities</t>
  </si>
  <si>
    <t>Net Increase in Cash</t>
  </si>
  <si>
    <t>Cash at End of Year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</si>
</sst>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Red]\-&quot;$&quot;#,##0"/>
    <numFmt numFmtId="165" formatCode="mmm\ yy"/>
    <numFmt numFmtId="166" formatCode="_-&quot;$&quot;* #,##0.00_-;\-&quot;$&quot;* #,##0.00_-;_-&quot;$&quot;* &quot;-&quot;??_-;_-@"/>
    <numFmt numFmtId="167" formatCode="_-[$$-C09]* #,##0.00_-;\-[$$-C09]* #,##0.00_-;_-[$$-C09]* &quot;-&quot;??_-;_-@"/>
    <numFmt numFmtId="168" formatCode="&quot;$&quot;#,##0.00;[Red]&quot;$&quot;#,##0.00"/>
    <numFmt numFmtId="169" formatCode="_(* #,##0_);_(* \(#,##0\);_(* &quot;-&quot;_);_(@_)"/>
  </numFmts>
  <fonts count="24">
    <font>
      <sz val="10.0"/>
      <color rgb="FF000000"/>
      <name val="Arial"/>
      <scheme val="minor"/>
    </font>
    <font>
      <b/>
      <sz val="15.0"/>
      <color rgb="FF1F497D"/>
      <name val="Calibri"/>
    </font>
    <font>
      <sz val="10.0"/>
      <color theme="1"/>
      <name val="Arial"/>
    </font>
    <font>
      <b/>
      <sz val="11.0"/>
      <color theme="1"/>
      <name val="Arial"/>
    </font>
    <font>
      <b/>
      <sz val="10.0"/>
      <color theme="1"/>
      <name val="Arial"/>
    </font>
    <font>
      <b/>
      <sz val="11.0"/>
      <color rgb="FF3F3F3F"/>
      <name val="Calibri"/>
    </font>
    <font>
      <b/>
      <u/>
      <sz val="11.0"/>
      <color theme="1"/>
      <name val="Arial"/>
    </font>
    <font/>
    <font>
      <sz val="11.0"/>
      <color rgb="FF000000"/>
      <name val="Calibri"/>
    </font>
    <font>
      <sz val="11.0"/>
      <color rgb="FF000000"/>
      <name val="Arial"/>
    </font>
    <font>
      <b/>
      <sz val="13.0"/>
      <color rgb="FF1F497D"/>
      <name val="Calibri"/>
    </font>
    <font>
      <b/>
      <sz val="11.0"/>
      <color rgb="FFFFFFFF"/>
      <name val="Arial"/>
    </font>
    <font>
      <b/>
      <sz val="10.0"/>
      <color rgb="FFFFFFFF"/>
      <name val="Arial"/>
    </font>
    <font>
      <sz val="8.0"/>
      <color theme="1"/>
      <name val="Arial"/>
    </font>
    <font>
      <sz val="11.0"/>
      <color theme="1"/>
      <name val="Arial"/>
    </font>
    <font>
      <b/>
      <sz val="13.0"/>
      <color rgb="FF1F497D"/>
      <name val="Arial"/>
    </font>
    <font>
      <color theme="1"/>
      <name val="Arial"/>
      <scheme val="minor"/>
    </font>
    <font>
      <b/>
      <sz val="10.0"/>
      <color rgb="FFFF0000"/>
      <name val="Times New Roman"/>
    </font>
    <font>
      <b/>
      <sz val="11.0"/>
      <color rgb="FF000000"/>
      <name val="Arial"/>
    </font>
    <font>
      <sz val="11.0"/>
      <color theme="1"/>
      <name val="Calibri"/>
    </font>
    <font>
      <sz val="10.0"/>
      <color theme="1"/>
      <name val="Verdana"/>
    </font>
    <font>
      <b/>
      <sz val="11.0"/>
      <color rgb="FF1F497D"/>
      <name val="Calibri"/>
    </font>
    <font>
      <sz val="11.0"/>
      <color rgb="FF3F3F76"/>
      <name val="Calibri"/>
    </font>
    <font>
      <b/>
      <sz val="11.0"/>
      <color rgb="FF1F497D"/>
      <name val="Arial"/>
    </font>
  </fonts>
  <fills count="6">
    <fill>
      <patternFill patternType="none"/>
    </fill>
    <fill>
      <patternFill patternType="lightGray"/>
    </fill>
    <fill>
      <patternFill patternType="solid">
        <fgColor rgb="FFF2F2F2"/>
        <bgColor rgb="FFF2F2F2"/>
      </patternFill>
    </fill>
    <fill>
      <patternFill patternType="solid">
        <fgColor rgb="FF333333"/>
        <bgColor rgb="FF333333"/>
      </patternFill>
    </fill>
    <fill>
      <patternFill patternType="solid">
        <fgColor rgb="FFC0C0C0"/>
        <bgColor rgb="FFC0C0C0"/>
      </patternFill>
    </fill>
    <fill>
      <patternFill patternType="solid">
        <fgColor rgb="FFFFCC99"/>
        <bgColor rgb="FFFFCC99"/>
      </patternFill>
    </fill>
  </fills>
  <borders count="75">
    <border/>
    <border>
      <bottom style="thick">
        <color theme="4"/>
      </bottom>
    </border>
    <border>
      <left style="medium">
        <color rgb="FF3366FF"/>
      </left>
      <top style="medium">
        <color rgb="FF3366FF"/>
      </top>
    </border>
    <border>
      <top style="medium">
        <color rgb="FF3366FF"/>
      </top>
    </border>
    <border>
      <right style="medium">
        <color rgb="FF3366FF"/>
      </right>
      <top style="medium">
        <color rgb="FF3366FF"/>
      </top>
    </border>
    <border>
      <left style="medium">
        <color rgb="FF3366FF"/>
      </left>
    </border>
    <border>
      <right style="medium">
        <color rgb="FF3366FF"/>
      </right>
    </border>
    <border>
      <left style="thin">
        <color rgb="FF3F3F3F"/>
      </left>
      <right style="thin">
        <color rgb="FF3F3F3F"/>
      </right>
      <top style="thin">
        <color rgb="FF3F3F3F"/>
      </top>
      <bottom style="thin">
        <color rgb="FF3F3F3F"/>
      </bottom>
    </border>
    <border>
      <right style="medium">
        <color rgb="FF3366FF"/>
      </right>
      <bottom style="medium">
        <color rgb="FF3366FF"/>
      </bottom>
    </border>
    <border>
      <left style="thin">
        <color rgb="FF366092"/>
      </left>
      <top style="thin">
        <color rgb="FF366092"/>
      </top>
    </border>
    <border>
      <top style="thin">
        <color rgb="FF366092"/>
      </top>
    </border>
    <border>
      <right style="thin">
        <color rgb="FF366092"/>
      </right>
      <top style="thin">
        <color rgb="FF366092"/>
      </top>
    </border>
    <border>
      <left style="thin">
        <color rgb="FF366092"/>
      </left>
    </border>
    <border>
      <right style="thin">
        <color rgb="FF366092"/>
      </right>
    </border>
    <border>
      <left style="thin">
        <color rgb="FF366092"/>
      </left>
      <bottom style="thin">
        <color rgb="FF366092"/>
      </bottom>
    </border>
    <border>
      <bottom style="thin">
        <color rgb="FF366092"/>
      </bottom>
    </border>
    <border>
      <right style="thin">
        <color rgb="FF366092"/>
      </right>
      <bottom style="thin">
        <color rgb="FF366092"/>
      </bottom>
    </border>
    <border>
      <bottom style="thick">
        <color rgb="FFA6BFDD"/>
      </bottom>
    </border>
    <border>
      <left style="thin">
        <color rgb="FF000000"/>
      </left>
      <right/>
      <top style="thin">
        <color rgb="FF000000"/>
      </top>
      <bottom style="thin">
        <color rgb="FF000000"/>
      </bottom>
    </border>
    <border>
      <left style="dotted">
        <color rgb="FF808080"/>
      </left>
      <right style="dotted">
        <color rgb="FF808080"/>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bottom style="thin">
        <color rgb="FF808080"/>
      </bottom>
    </border>
    <border>
      <top style="thin">
        <color rgb="FF808080"/>
      </top>
      <bottom style="thin">
        <color rgb="FF808080"/>
      </bottom>
    </border>
    <border>
      <left style="dotted">
        <color rgb="FF808080"/>
      </left>
      <right style="dotted">
        <color rgb="FF808080"/>
      </right>
      <top style="thin">
        <color rgb="FF808080"/>
      </top>
      <bottom style="thin">
        <color rgb="FF808080"/>
      </bottom>
    </border>
    <border>
      <top style="thin">
        <color rgb="FF808080"/>
      </top>
    </border>
    <border>
      <left style="dotted">
        <color rgb="FF808080"/>
      </left>
      <right style="dotted">
        <color rgb="FF808080"/>
      </right>
      <bottom style="thin">
        <color rgb="FF000000"/>
      </bottom>
    </border>
    <border>
      <right style="thin">
        <color rgb="FF000000"/>
      </right>
    </border>
    <border>
      <left style="thin">
        <color rgb="FF000000"/>
      </left>
      <bottom style="thin">
        <color rgb="FF808080"/>
      </bottom>
    </border>
    <border>
      <left/>
      <right/>
      <top style="thin">
        <color rgb="FF000000"/>
      </top>
      <bottom style="thin">
        <color rgb="FF000000"/>
      </bottom>
    </border>
    <border>
      <left style="thin">
        <color rgb="FF000000"/>
      </left>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top/>
      <bottom style="medium">
        <color rgb="FF000000"/>
      </bottom>
    </border>
    <border>
      <left/>
      <right/>
      <top/>
      <bottom style="medium">
        <color rgb="FF000000"/>
      </bottom>
    </border>
    <border>
      <left style="thin">
        <color rgb="FF000000"/>
      </left>
      <top style="thin">
        <color rgb="FF000000"/>
      </top>
      <bottom style="thin">
        <color rgb="FF000000"/>
      </bottom>
    </border>
    <border>
      <right style="dotted">
        <color rgb="FF808080"/>
      </right>
      <top style="thin">
        <color rgb="FF000000"/>
      </top>
      <bottom style="thin">
        <color rgb="FF000000"/>
      </bottom>
    </border>
    <border>
      <left style="dotted">
        <color rgb="FF808080"/>
      </left>
      <bottom style="thin">
        <color rgb="FF000000"/>
      </bottom>
    </border>
    <border>
      <left style="dotted">
        <color rgb="FF808080"/>
      </left>
      <right style="dotted">
        <color rgb="FF808080"/>
      </right>
      <bottom style="thin">
        <color rgb="FF808080"/>
      </bottom>
    </border>
    <border>
      <right/>
      <top style="thin">
        <color rgb="FF000000"/>
      </top>
      <bottom style="thin">
        <color rgb="FF000000"/>
      </bottom>
    </border>
    <border>
      <left style="thin">
        <color rgb="FF000000"/>
      </left>
      <top/>
      <bottom style="medium">
        <color rgb="FF000000"/>
      </bottom>
    </border>
    <border>
      <right/>
      <top/>
      <bottom style="medium">
        <color rgb="FF000000"/>
      </bottom>
    </border>
    <border>
      <left style="medium">
        <color rgb="FF0066CC"/>
      </left>
      <top style="medium">
        <color rgb="FF0066CC"/>
      </top>
    </border>
    <border>
      <top style="medium">
        <color rgb="FF0066CC"/>
      </top>
    </border>
    <border>
      <right style="medium">
        <color rgb="FF0066CC"/>
      </right>
      <top style="medium">
        <color rgb="FF0066CC"/>
      </top>
    </border>
    <border>
      <left style="medium">
        <color rgb="FF0066CC"/>
      </left>
    </border>
    <border>
      <right style="medium">
        <color rgb="FF0066CC"/>
      </right>
    </border>
    <border>
      <left style="medium">
        <color rgb="FF0066CC"/>
      </left>
      <top style="double">
        <color rgb="FF000000"/>
      </top>
    </border>
    <border>
      <top style="double">
        <color rgb="FF000000"/>
      </top>
    </border>
    <border>
      <right style="medium">
        <color rgb="FF0066CC"/>
      </right>
      <top style="double">
        <color rgb="FF000000"/>
      </top>
    </border>
    <border>
      <bottom style="medium">
        <color rgb="FF000000"/>
      </bottom>
    </border>
    <border>
      <top style="medium">
        <color rgb="FF000000"/>
      </top>
      <bottom style="medium">
        <color rgb="FF000000"/>
      </bottom>
    </border>
    <border>
      <left style="medium">
        <color rgb="FF0066CC"/>
      </left>
      <bottom style="double">
        <color rgb="FF000000"/>
      </bottom>
    </border>
    <border>
      <bottom style="double">
        <color rgb="FF000000"/>
      </bottom>
    </border>
    <border>
      <right style="medium">
        <color rgb="FF0066CC"/>
      </right>
      <bottom style="double">
        <color rgb="FF000000"/>
      </bottom>
    </border>
    <border>
      <left style="medium">
        <color rgb="FF0066CC"/>
      </left>
      <top style="double">
        <color rgb="FF000000"/>
      </top>
      <bottom style="medium">
        <color rgb="FF0066CC"/>
      </bottom>
    </border>
    <border>
      <top style="double">
        <color rgb="FF000000"/>
      </top>
      <bottom style="medium">
        <color rgb="FF0066CC"/>
      </bottom>
    </border>
    <border>
      <right style="medium">
        <color rgb="FF0066CC"/>
      </right>
      <top style="double">
        <color rgb="FF000000"/>
      </top>
      <bottom style="medium">
        <color rgb="FF0066CC"/>
      </bottom>
    </border>
    <border>
      <top style="thin">
        <color rgb="FF000000"/>
      </top>
      <bottom style="thin">
        <color rgb="FF000000"/>
      </bottom>
    </border>
    <border>
      <left style="dotted">
        <color rgb="FF808080"/>
      </left>
      <right style="thin">
        <color rgb="FF000000"/>
      </right>
      <top style="thin">
        <color rgb="FF000000"/>
      </top>
      <bottom style="thin">
        <color rgb="FF000000"/>
      </bottom>
    </border>
    <border>
      <right style="thin">
        <color rgb="FF000000"/>
      </right>
      <top style="thin">
        <color rgb="FF000000"/>
      </top>
    </border>
    <border>
      <bottom style="thin">
        <color rgb="FF000000"/>
      </bottom>
    </border>
    <border>
      <right style="dotted">
        <color rgb="FF808080"/>
      </right>
      <bottom style="thin">
        <color rgb="FF808080"/>
      </bottom>
    </border>
    <border>
      <right style="dotted">
        <color rgb="FF808080"/>
      </right>
      <top style="thin">
        <color rgb="FF808080"/>
      </top>
      <bottom style="thin">
        <color rgb="FF808080"/>
      </bottom>
    </border>
    <border>
      <right style="dotted">
        <color rgb="FF808080"/>
      </right>
      <top style="thin">
        <color rgb="FF808080"/>
      </top>
      <bottom style="thin">
        <color rgb="FF000000"/>
      </bottom>
    </border>
    <border>
      <right style="dotted">
        <color rgb="FF808080"/>
      </right>
      <top style="thin">
        <color rgb="FF808080"/>
      </top>
    </border>
    <border>
      <left style="thin">
        <color rgb="FF3F3F3F"/>
      </left>
      <top style="thin">
        <color rgb="FF3F3F3F"/>
      </top>
      <bottom style="thin">
        <color rgb="FF3F3F3F"/>
      </bottom>
    </border>
    <border>
      <top style="thin">
        <color rgb="FF3F3F3F"/>
      </top>
      <bottom style="thin">
        <color rgb="FF3F3F3F"/>
      </bottom>
    </border>
    <border>
      <right style="thin">
        <color rgb="FF3F3F3F"/>
      </right>
      <top style="thin">
        <color rgb="FF3F3F3F"/>
      </top>
      <bottom style="thin">
        <color rgb="FF3F3F3F"/>
      </bottom>
    </border>
    <border>
      <right style="dotted">
        <color rgb="FF808080"/>
      </right>
    </border>
    <border>
      <bottom style="medium">
        <color rgb="FF95B3D7"/>
      </bottom>
    </border>
    <border>
      <right style="dotted">
        <color rgb="FF808080"/>
      </right>
      <top style="thin">
        <color rgb="FF000000"/>
      </top>
    </border>
    <border>
      <left style="thin">
        <color rgb="FF7F7F7F"/>
      </left>
      <right style="thin">
        <color rgb="FF7F7F7F"/>
      </right>
      <top style="thin">
        <color rgb="FF7F7F7F"/>
      </top>
      <bottom style="thin">
        <color rgb="FF7F7F7F"/>
      </bottom>
    </border>
    <border>
      <left style="thin">
        <color rgb="FF969696"/>
      </left>
      <right style="thin">
        <color rgb="FF969696"/>
      </right>
      <top style="thin">
        <color rgb="FF969696"/>
      </top>
      <bottom style="thin">
        <color rgb="FF969696"/>
      </bottom>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1" fillId="0" fontId="1" numFmtId="0" xfId="0" applyBorder="1" applyFont="1"/>
    <xf borderId="0" fillId="0" fontId="2" numFmtId="0" xfId="0" applyFont="1"/>
    <xf borderId="0" fillId="0" fontId="2" numFmtId="0" xfId="0" applyAlignment="1" applyFont="1">
      <alignment shrinkToFit="0" wrapText="1"/>
    </xf>
    <xf borderId="2" fillId="0" fontId="3" numFmtId="0" xfId="0" applyAlignment="1" applyBorder="1" applyFont="1">
      <alignment vertical="top"/>
    </xf>
    <xf borderId="3" fillId="0" fontId="3" numFmtId="0" xfId="0" applyAlignment="1" applyBorder="1" applyFont="1">
      <alignment vertical="top"/>
    </xf>
    <xf borderId="4" fillId="0" fontId="3" numFmtId="0" xfId="0" applyAlignment="1" applyBorder="1" applyFont="1">
      <alignment vertical="top"/>
    </xf>
    <xf borderId="5" fillId="0" fontId="3" numFmtId="0" xfId="0" applyAlignment="1" applyBorder="1" applyFont="1">
      <alignment vertical="top"/>
    </xf>
    <xf borderId="0" fillId="0" fontId="3" numFmtId="0" xfId="0" applyAlignment="1" applyFont="1">
      <alignment vertical="top"/>
    </xf>
    <xf borderId="6" fillId="0" fontId="3" numFmtId="0" xfId="0" applyAlignment="1" applyBorder="1" applyFont="1">
      <alignment vertical="top"/>
    </xf>
    <xf borderId="5" fillId="0" fontId="4" numFmtId="0" xfId="0" applyBorder="1" applyFont="1"/>
    <xf borderId="6" fillId="0" fontId="2" numFmtId="0" xfId="0" applyBorder="1" applyFont="1"/>
    <xf borderId="5" fillId="0" fontId="2" numFmtId="0" xfId="0" applyBorder="1" applyFont="1"/>
    <xf borderId="7" fillId="2" fontId="5" numFmtId="0" xfId="0" applyBorder="1" applyFill="1" applyFont="1"/>
    <xf borderId="0" fillId="0" fontId="4" numFmtId="0" xfId="0" applyFont="1"/>
    <xf borderId="8" fillId="0" fontId="2" numFmtId="0" xfId="0" applyBorder="1" applyFont="1"/>
    <xf borderId="2" fillId="0" fontId="6" numFmtId="0" xfId="0" applyAlignment="1" applyBorder="1" applyFont="1">
      <alignment horizontal="left" shrinkToFit="0" vertical="top" wrapText="1"/>
    </xf>
    <xf borderId="3" fillId="0" fontId="7" numFmtId="0" xfId="0" applyBorder="1" applyFont="1"/>
    <xf borderId="4" fillId="0" fontId="7" numFmtId="0" xfId="0" applyBorder="1" applyFont="1"/>
    <xf borderId="9" fillId="0" fontId="2" numFmtId="0" xfId="0" applyAlignment="1" applyBorder="1" applyFont="1">
      <alignment shrinkToFit="0" wrapText="1"/>
    </xf>
    <xf borderId="10" fillId="0" fontId="7" numFmtId="0" xfId="0" applyBorder="1" applyFont="1"/>
    <xf borderId="11" fillId="0" fontId="7" numFmtId="0" xfId="0" applyBorder="1" applyFont="1"/>
    <xf borderId="12" fillId="0" fontId="2" numFmtId="0" xfId="0" applyBorder="1" applyFont="1"/>
    <xf borderId="13" fillId="0" fontId="7" numFmtId="0" xfId="0" applyBorder="1" applyFont="1"/>
    <xf borderId="13" fillId="0" fontId="2" numFmtId="0" xfId="0" applyBorder="1" applyFont="1"/>
    <xf borderId="0" fillId="0" fontId="2" numFmtId="164" xfId="0" applyFont="1" applyNumberFormat="1"/>
    <xf borderId="7" fillId="2" fontId="5" numFmtId="164" xfId="0" applyBorder="1" applyFont="1" applyNumberFormat="1"/>
    <xf borderId="14" fillId="0" fontId="2" numFmtId="0" xfId="0" applyAlignment="1" applyBorder="1" applyFont="1">
      <alignment horizontal="left" shrinkToFit="0" vertical="center" wrapText="1"/>
    </xf>
    <xf borderId="15" fillId="0" fontId="7" numFmtId="0" xfId="0" applyBorder="1" applyFont="1"/>
    <xf borderId="16" fillId="0" fontId="7" numFmtId="0" xfId="0" applyBorder="1" applyFont="1"/>
    <xf borderId="0" fillId="0" fontId="8" numFmtId="0" xfId="0" applyAlignment="1" applyFont="1">
      <alignment horizontal="left" readingOrder="1" vertical="center"/>
    </xf>
    <xf borderId="0" fillId="0" fontId="9" numFmtId="0" xfId="0" applyAlignment="1" applyFont="1">
      <alignment horizontal="left" readingOrder="1" shrinkToFit="0" vertical="center" wrapText="1"/>
    </xf>
    <xf borderId="17" fillId="0" fontId="10" numFmtId="0" xfId="0" applyAlignment="1" applyBorder="1" applyFont="1">
      <alignment vertical="top"/>
    </xf>
    <xf borderId="18" fillId="3" fontId="11" numFmtId="0" xfId="0" applyBorder="1" applyFill="1" applyFont="1"/>
    <xf borderId="19" fillId="3" fontId="12" numFmtId="165" xfId="0" applyAlignment="1" applyBorder="1" applyFont="1" applyNumberFormat="1">
      <alignment horizontal="center" shrinkToFit="0" wrapText="1"/>
    </xf>
    <xf borderId="20" fillId="3" fontId="12" numFmtId="165" xfId="0" applyAlignment="1" applyBorder="1" applyFont="1" applyNumberFormat="1">
      <alignment horizontal="center" shrinkToFit="0" wrapText="1"/>
    </xf>
    <xf borderId="21" fillId="0" fontId="3" numFmtId="0" xfId="0" applyBorder="1" applyFont="1"/>
    <xf quotePrefix="1" borderId="22" fillId="0" fontId="2" numFmtId="0" xfId="0" applyBorder="1" applyFont="1"/>
    <xf borderId="0" fillId="0" fontId="13" numFmtId="0" xfId="0" applyAlignment="1" applyFont="1">
      <alignment vertical="top"/>
    </xf>
    <xf borderId="23" fillId="0" fontId="3" numFmtId="0" xfId="0" applyBorder="1" applyFont="1"/>
    <xf borderId="24" fillId="0" fontId="14" numFmtId="0" xfId="0" applyBorder="1" applyFont="1"/>
    <xf borderId="25" fillId="0" fontId="2" numFmtId="166" xfId="0" applyBorder="1" applyFont="1" applyNumberFormat="1"/>
    <xf borderId="24" fillId="0" fontId="14" numFmtId="0" xfId="0" applyAlignment="1" applyBorder="1" applyFont="1">
      <alignment shrinkToFit="0" wrapText="1"/>
    </xf>
    <xf borderId="26" fillId="0" fontId="14" numFmtId="0" xfId="0" applyBorder="1" applyFont="1"/>
    <xf borderId="27" fillId="0" fontId="2" numFmtId="166" xfId="0" applyBorder="1" applyFont="1" applyNumberFormat="1"/>
    <xf borderId="22" fillId="0" fontId="3" numFmtId="0" xfId="0" applyBorder="1" applyFont="1"/>
    <xf borderId="0" fillId="0" fontId="4" numFmtId="166" xfId="0" applyFont="1" applyNumberFormat="1"/>
    <xf borderId="28" fillId="0" fontId="4" numFmtId="166" xfId="0" applyBorder="1" applyFont="1" applyNumberFormat="1"/>
    <xf borderId="0" fillId="0" fontId="3" numFmtId="0" xfId="0" applyFont="1"/>
    <xf quotePrefix="1" borderId="0" fillId="0" fontId="4" numFmtId="3" xfId="0" applyFont="1" applyNumberFormat="1"/>
    <xf borderId="29" fillId="0" fontId="3" numFmtId="0" xfId="0" applyBorder="1" applyFont="1"/>
    <xf quotePrefix="1" borderId="23" fillId="0" fontId="2" numFmtId="0" xfId="0" applyBorder="1" applyFont="1"/>
    <xf borderId="23" fillId="0" fontId="2" numFmtId="0" xfId="0" applyBorder="1" applyFont="1"/>
    <xf borderId="22" fillId="0" fontId="3" numFmtId="166" xfId="0" applyBorder="1" applyFont="1" applyNumberFormat="1"/>
    <xf borderId="0" fillId="0" fontId="14" numFmtId="0" xfId="0" applyFont="1"/>
    <xf borderId="0" fillId="0" fontId="2" numFmtId="3" xfId="0" applyFont="1" applyNumberFormat="1"/>
    <xf borderId="28" fillId="0" fontId="2" numFmtId="3" xfId="0" applyBorder="1" applyFont="1" applyNumberFormat="1"/>
    <xf borderId="18" fillId="4" fontId="3" numFmtId="0" xfId="0" applyBorder="1" applyFill="1" applyFont="1"/>
    <xf borderId="30" fillId="4" fontId="4" numFmtId="166" xfId="0" applyBorder="1" applyFont="1" applyNumberFormat="1"/>
    <xf borderId="31" fillId="0" fontId="3" numFmtId="0" xfId="0" applyBorder="1" applyFont="1"/>
    <xf quotePrefix="1" borderId="0" fillId="0" fontId="2" numFmtId="0" xfId="0" applyFont="1"/>
    <xf borderId="0" fillId="0" fontId="2" numFmtId="166" xfId="0" applyFont="1" applyNumberFormat="1"/>
    <xf quotePrefix="1" borderId="25" fillId="0" fontId="2" numFmtId="3" xfId="0" applyBorder="1" applyFont="1" applyNumberFormat="1"/>
    <xf borderId="20" fillId="4" fontId="4" numFmtId="166" xfId="0" applyBorder="1" applyFont="1" applyNumberFormat="1"/>
    <xf borderId="32" fillId="4" fontId="4" numFmtId="166" xfId="0" applyBorder="1" applyFont="1" applyNumberFormat="1"/>
    <xf borderId="33" fillId="4" fontId="4" numFmtId="166" xfId="0" applyBorder="1" applyFont="1" applyNumberFormat="1"/>
    <xf borderId="34" fillId="4" fontId="3" numFmtId="0" xfId="0" applyAlignment="1" applyBorder="1" applyFont="1">
      <alignment shrinkToFit="0" wrapText="1"/>
    </xf>
    <xf borderId="35" fillId="4" fontId="4" numFmtId="166" xfId="0" applyBorder="1" applyFont="1" applyNumberFormat="1"/>
    <xf borderId="1" fillId="0" fontId="1" numFmtId="0" xfId="0" applyAlignment="1" applyBorder="1" applyFont="1">
      <alignment vertical="top"/>
    </xf>
    <xf borderId="36" fillId="3" fontId="11" numFmtId="0" xfId="0" applyBorder="1" applyFont="1"/>
    <xf borderId="37" fillId="0" fontId="7" numFmtId="0" xfId="0" applyBorder="1" applyFont="1"/>
    <xf borderId="27" fillId="0" fontId="3" numFmtId="3" xfId="0" applyBorder="1" applyFont="1" applyNumberFormat="1"/>
    <xf borderId="27" fillId="0" fontId="2" numFmtId="3" xfId="0" applyBorder="1" applyFont="1" applyNumberFormat="1"/>
    <xf borderId="21" fillId="0" fontId="14" numFmtId="0" xfId="0" applyBorder="1" applyFont="1"/>
    <xf borderId="25" fillId="0" fontId="2" numFmtId="3" xfId="0" applyBorder="1" applyFont="1" applyNumberFormat="1"/>
    <xf borderId="31" fillId="0" fontId="14" numFmtId="0" xfId="0" applyBorder="1" applyFont="1"/>
    <xf borderId="30" fillId="4" fontId="4" numFmtId="3" xfId="0" applyBorder="1" applyFont="1" applyNumberFormat="1"/>
    <xf borderId="31" fillId="0" fontId="4" numFmtId="0" xfId="0" applyBorder="1" applyFont="1"/>
    <xf quotePrefix="1" borderId="38" fillId="0" fontId="2" numFmtId="3" xfId="0" applyBorder="1" applyFont="1" applyNumberFormat="1"/>
    <xf borderId="25" fillId="0" fontId="14" numFmtId="3" xfId="0" applyBorder="1" applyFont="1" applyNumberFormat="1"/>
    <xf borderId="39" fillId="0" fontId="2" numFmtId="3" xfId="0" applyBorder="1" applyFont="1" applyNumberFormat="1"/>
    <xf borderId="36" fillId="4" fontId="3" numFmtId="0" xfId="0" applyBorder="1" applyFont="1"/>
    <xf borderId="40" fillId="0" fontId="7" numFmtId="0" xfId="0" applyBorder="1" applyFont="1"/>
    <xf borderId="32" fillId="4" fontId="3" numFmtId="4" xfId="0" applyBorder="1" applyFont="1" applyNumberFormat="1"/>
    <xf borderId="32" fillId="4" fontId="4" numFmtId="3" xfId="0" applyBorder="1" applyFont="1" applyNumberFormat="1"/>
    <xf borderId="41" fillId="4" fontId="3" numFmtId="0" xfId="0" applyAlignment="1" applyBorder="1" applyFont="1">
      <alignment horizontal="left" shrinkToFit="0" wrapText="1"/>
    </xf>
    <xf borderId="42" fillId="0" fontId="7" numFmtId="0" xfId="0" applyBorder="1" applyFont="1"/>
    <xf borderId="35" fillId="4" fontId="4" numFmtId="3" xfId="0" applyBorder="1" applyFont="1" applyNumberFormat="1"/>
    <xf borderId="17" fillId="0" fontId="15" numFmtId="0" xfId="0" applyAlignment="1" applyBorder="1" applyFont="1">
      <alignment horizontal="center"/>
    </xf>
    <xf borderId="17" fillId="0" fontId="7" numFmtId="0" xfId="0" applyBorder="1" applyFont="1"/>
    <xf borderId="0" fillId="0" fontId="16" numFmtId="0" xfId="0" applyFont="1"/>
    <xf borderId="0" fillId="0" fontId="17" numFmtId="0" xfId="0" applyAlignment="1" applyFont="1">
      <alignment horizontal="left"/>
    </xf>
    <xf borderId="43" fillId="0" fontId="18" numFmtId="0" xfId="0" applyAlignment="1" applyBorder="1" applyFont="1">
      <alignment shrinkToFit="0" vertical="top" wrapText="1"/>
    </xf>
    <xf borderId="44" fillId="0" fontId="18" numFmtId="0" xfId="0" applyAlignment="1" applyBorder="1" applyFont="1">
      <alignment shrinkToFit="0" vertical="top" wrapText="1"/>
    </xf>
    <xf borderId="45" fillId="0" fontId="18" numFmtId="0" xfId="0" applyAlignment="1" applyBorder="1" applyFont="1">
      <alignment shrinkToFit="0" vertical="top" wrapText="1"/>
    </xf>
    <xf borderId="0" fillId="0" fontId="19" numFmtId="0" xfId="0" applyAlignment="1" applyFont="1">
      <alignment shrinkToFit="0" wrapText="1"/>
    </xf>
    <xf borderId="46" fillId="0" fontId="18" numFmtId="0" xfId="0" applyAlignment="1" applyBorder="1" applyFont="1">
      <alignment shrinkToFit="0" vertical="top" wrapText="1"/>
    </xf>
    <xf borderId="0" fillId="0" fontId="18" numFmtId="0" xfId="0" applyAlignment="1" applyFont="1">
      <alignment shrinkToFit="0" vertical="top" wrapText="1"/>
    </xf>
    <xf borderId="47" fillId="0" fontId="18" numFmtId="0" xfId="0" applyAlignment="1" applyBorder="1" applyFont="1">
      <alignment shrinkToFit="0" vertical="top" wrapText="1"/>
    </xf>
    <xf borderId="0" fillId="0" fontId="9" numFmtId="0" xfId="0" applyAlignment="1" applyFont="1">
      <alignment horizontal="left" shrinkToFit="0" vertical="top" wrapText="1"/>
    </xf>
    <xf borderId="47" fillId="0" fontId="9" numFmtId="0" xfId="0" applyAlignment="1" applyBorder="1" applyFont="1">
      <alignment horizontal="left" shrinkToFit="0" vertical="top" wrapText="1"/>
    </xf>
    <xf borderId="46" fillId="0" fontId="9" numFmtId="0" xfId="0" applyAlignment="1" applyBorder="1" applyFont="1">
      <alignment horizontal="left" shrinkToFit="0" vertical="top" wrapText="1"/>
    </xf>
    <xf borderId="0" fillId="0" fontId="9" numFmtId="164" xfId="0" applyAlignment="1" applyFont="1" applyNumberFormat="1">
      <alignment horizontal="right"/>
    </xf>
    <xf borderId="0" fillId="0" fontId="9" numFmtId="0" xfId="0" applyAlignment="1" applyFont="1">
      <alignment shrinkToFit="0" vertical="top" wrapText="1"/>
    </xf>
    <xf borderId="47" fillId="0" fontId="9" numFmtId="0" xfId="0" applyAlignment="1" applyBorder="1" applyFont="1">
      <alignment shrinkToFit="0" vertical="top" wrapText="1"/>
    </xf>
    <xf borderId="48" fillId="0" fontId="18" numFmtId="0" xfId="0" applyAlignment="1" applyBorder="1" applyFont="1">
      <alignment shrinkToFit="0" vertical="top" wrapText="1"/>
    </xf>
    <xf borderId="49" fillId="0" fontId="18" numFmtId="0" xfId="0" applyAlignment="1" applyBorder="1" applyFont="1">
      <alignment shrinkToFit="0" vertical="top" wrapText="1"/>
    </xf>
    <xf borderId="49" fillId="0" fontId="18" numFmtId="167" xfId="0" applyAlignment="1" applyBorder="1" applyFont="1" applyNumberFormat="1">
      <alignment shrinkToFit="0" vertical="top" wrapText="1"/>
    </xf>
    <xf borderId="50" fillId="0" fontId="18" numFmtId="0" xfId="0" applyAlignment="1" applyBorder="1" applyFont="1">
      <alignment shrinkToFit="0" vertical="top" wrapText="1"/>
    </xf>
    <xf borderId="0" fillId="0" fontId="9" numFmtId="0" xfId="0" applyAlignment="1" applyFont="1">
      <alignment horizontal="right" shrinkToFit="0" vertical="top" wrapText="1"/>
    </xf>
    <xf borderId="47" fillId="0" fontId="9" numFmtId="0" xfId="0" applyAlignment="1" applyBorder="1" applyFont="1">
      <alignment horizontal="right" shrinkToFit="0" vertical="top" wrapText="1"/>
    </xf>
    <xf borderId="0" fillId="0" fontId="9" numFmtId="164" xfId="0" applyAlignment="1" applyFont="1" applyNumberFormat="1">
      <alignment horizontal="right" shrinkToFit="0" vertical="top" wrapText="1"/>
    </xf>
    <xf borderId="46" fillId="0" fontId="7" numFmtId="0" xfId="0" applyBorder="1" applyFont="1"/>
    <xf borderId="51" fillId="0" fontId="7" numFmtId="0" xfId="0" applyBorder="1" applyFont="1"/>
    <xf borderId="47" fillId="0" fontId="7" numFmtId="0" xfId="0" applyBorder="1" applyFont="1"/>
    <xf borderId="46" fillId="0" fontId="18" numFmtId="0" xfId="0" applyAlignment="1" applyBorder="1" applyFont="1">
      <alignment horizontal="right" shrinkToFit="0" vertical="top" wrapText="1"/>
    </xf>
    <xf borderId="49" fillId="0" fontId="18" numFmtId="164" xfId="0" applyAlignment="1" applyBorder="1" applyFont="1" applyNumberFormat="1">
      <alignment horizontal="right" shrinkToFit="0" vertical="top" wrapText="1"/>
    </xf>
    <xf borderId="50" fillId="0" fontId="9" numFmtId="0" xfId="0" applyAlignment="1" applyBorder="1" applyFont="1">
      <alignment horizontal="right" shrinkToFit="0" vertical="top" wrapText="1"/>
    </xf>
    <xf borderId="48" fillId="0" fontId="18" numFmtId="0" xfId="0" applyAlignment="1" applyBorder="1" applyFont="1">
      <alignment vertical="top"/>
    </xf>
    <xf borderId="49" fillId="0" fontId="9" numFmtId="164" xfId="0" applyAlignment="1" applyBorder="1" applyFont="1" applyNumberFormat="1">
      <alignment horizontal="right" shrinkToFit="0" vertical="top" wrapText="1"/>
    </xf>
    <xf borderId="52" fillId="0" fontId="9" numFmtId="0" xfId="0" applyAlignment="1" applyBorder="1" applyFont="1">
      <alignment horizontal="right" shrinkToFit="0" vertical="top" wrapText="1"/>
    </xf>
    <xf borderId="51" fillId="0" fontId="18" numFmtId="164" xfId="0" applyAlignment="1" applyBorder="1" applyFont="1" applyNumberFormat="1">
      <alignment horizontal="right" shrinkToFit="0" vertical="top" wrapText="1"/>
    </xf>
    <xf borderId="53" fillId="0" fontId="3" numFmtId="0" xfId="0" applyAlignment="1" applyBorder="1" applyFont="1">
      <alignment shrinkToFit="0" vertical="top" wrapText="1"/>
    </xf>
    <xf borderId="54" fillId="0" fontId="7" numFmtId="0" xfId="0" applyBorder="1" applyFont="1"/>
    <xf borderId="54" fillId="0" fontId="14" numFmtId="0" xfId="0" applyAlignment="1" applyBorder="1" applyFont="1">
      <alignment horizontal="right" shrinkToFit="0" vertical="top" wrapText="1"/>
    </xf>
    <xf borderId="55" fillId="0" fontId="3" numFmtId="164" xfId="0" applyAlignment="1" applyBorder="1" applyFont="1" applyNumberFormat="1">
      <alignment horizontal="right" shrinkToFit="0" vertical="top" wrapText="1"/>
    </xf>
    <xf borderId="47" fillId="0" fontId="18" numFmtId="0" xfId="0" applyAlignment="1" applyBorder="1" applyFont="1">
      <alignment horizontal="right" shrinkToFit="0" vertical="top" wrapText="1"/>
    </xf>
    <xf borderId="0" fillId="0" fontId="8" numFmtId="0" xfId="0" applyFont="1"/>
    <xf borderId="56" fillId="0" fontId="18" numFmtId="0" xfId="0" applyAlignment="1" applyBorder="1" applyFont="1">
      <alignment vertical="top"/>
    </xf>
    <xf borderId="57" fillId="0" fontId="18" numFmtId="0" xfId="0" applyAlignment="1" applyBorder="1" applyFont="1">
      <alignment vertical="top"/>
    </xf>
    <xf borderId="58" fillId="0" fontId="18" numFmtId="164" xfId="0" applyAlignment="1" applyBorder="1" applyFont="1" applyNumberFormat="1">
      <alignment horizontal="right" shrinkToFit="0" vertical="top" wrapText="1"/>
    </xf>
    <xf borderId="1" fillId="0" fontId="1" numFmtId="0" xfId="0" applyAlignment="1" applyBorder="1" applyFont="1">
      <alignment horizontal="left" vertical="top"/>
    </xf>
    <xf borderId="1" fillId="0" fontId="7" numFmtId="0" xfId="0" applyBorder="1" applyFont="1"/>
    <xf borderId="17" fillId="0" fontId="10" numFmtId="0" xfId="0" applyBorder="1" applyFont="1"/>
    <xf borderId="59" fillId="0" fontId="7" numFmtId="0" xfId="0" applyBorder="1" applyFont="1"/>
    <xf borderId="19" fillId="3" fontId="11" numFmtId="17" xfId="0" applyAlignment="1" applyBorder="1" applyFont="1" applyNumberFormat="1">
      <alignment horizontal="center" shrinkToFit="0" wrapText="1"/>
    </xf>
    <xf borderId="19" fillId="3" fontId="11" numFmtId="165" xfId="0" applyAlignment="1" applyBorder="1" applyFont="1" applyNumberFormat="1">
      <alignment horizontal="center" shrinkToFit="0" wrapText="1"/>
    </xf>
    <xf borderId="60" fillId="3" fontId="11" numFmtId="165" xfId="0" applyAlignment="1" applyBorder="1" applyFont="1" applyNumberFormat="1">
      <alignment horizontal="center" shrinkToFit="0" wrapText="1"/>
    </xf>
    <xf borderId="0" fillId="0" fontId="20" numFmtId="0" xfId="0" applyFont="1"/>
    <xf borderId="17" fillId="0" fontId="10" numFmtId="3" xfId="0" applyBorder="1" applyFont="1" applyNumberFormat="1"/>
    <xf borderId="22" fillId="0" fontId="14" numFmtId="0" xfId="0" applyBorder="1" applyFont="1"/>
    <xf borderId="61" fillId="0" fontId="14" numFmtId="0" xfId="0" applyBorder="1" applyFont="1"/>
    <xf borderId="0" fillId="0" fontId="3" numFmtId="0" xfId="0" applyAlignment="1" applyFont="1">
      <alignment horizontal="left"/>
    </xf>
    <xf borderId="0" fillId="0" fontId="14" numFmtId="168" xfId="0" applyFont="1" applyNumberFormat="1"/>
    <xf borderId="62" fillId="0" fontId="3" numFmtId="0" xfId="0" applyAlignment="1" applyBorder="1" applyFont="1">
      <alignment horizontal="left"/>
    </xf>
    <xf borderId="62" fillId="0" fontId="7" numFmtId="0" xfId="0" applyBorder="1" applyFont="1"/>
    <xf quotePrefix="1" borderId="0" fillId="0" fontId="14" numFmtId="1" xfId="0" applyFont="1" applyNumberFormat="1"/>
    <xf quotePrefix="1" borderId="28" fillId="0" fontId="14" numFmtId="1" xfId="0" applyBorder="1" applyFont="1" applyNumberFormat="1"/>
    <xf borderId="63" fillId="0" fontId="14" numFmtId="0" xfId="0" applyBorder="1" applyFont="1"/>
    <xf borderId="64" fillId="0" fontId="14" numFmtId="0" xfId="0" applyBorder="1" applyFont="1"/>
    <xf borderId="65" fillId="0" fontId="14" numFmtId="0" xfId="0" applyBorder="1" applyFont="1"/>
    <xf borderId="0" fillId="0" fontId="3" numFmtId="166" xfId="0" applyFont="1" applyNumberFormat="1"/>
    <xf borderId="28" fillId="0" fontId="3" numFmtId="166" xfId="0" applyBorder="1" applyFont="1" applyNumberFormat="1"/>
    <xf borderId="62" fillId="0" fontId="3" numFmtId="0" xfId="0" applyBorder="1" applyFont="1"/>
    <xf borderId="23" fillId="0" fontId="14" numFmtId="0" xfId="0" applyBorder="1" applyFont="1"/>
    <xf borderId="66" fillId="0" fontId="14" numFmtId="0" xfId="0" applyBorder="1" applyFont="1"/>
    <xf borderId="61" fillId="0" fontId="3" numFmtId="166" xfId="0" applyBorder="1" applyFont="1" applyNumberFormat="1"/>
    <xf borderId="0" fillId="0" fontId="14" numFmtId="166" xfId="0" applyFont="1" applyNumberFormat="1"/>
    <xf borderId="28" fillId="0" fontId="14" numFmtId="166" xfId="0" applyBorder="1" applyFont="1" applyNumberFormat="1"/>
    <xf borderId="67" fillId="2" fontId="5" numFmtId="0" xfId="0" applyBorder="1" applyFont="1"/>
    <xf borderId="68" fillId="0" fontId="7" numFmtId="0" xfId="0" applyBorder="1" applyFont="1"/>
    <xf borderId="69" fillId="0" fontId="7" numFmtId="0" xfId="0" applyBorder="1" applyFont="1"/>
    <xf borderId="7" fillId="2" fontId="5" numFmtId="166" xfId="0" applyBorder="1" applyFont="1" applyNumberFormat="1"/>
    <xf quotePrefix="1" borderId="0" fillId="0" fontId="14" numFmtId="0" xfId="0" applyFont="1"/>
    <xf quotePrefix="1" borderId="28" fillId="0" fontId="14" numFmtId="0" xfId="0" applyBorder="1" applyFont="1"/>
    <xf borderId="17" fillId="0" fontId="10" numFmtId="1" xfId="0" applyBorder="1" applyFont="1" applyNumberFormat="1"/>
    <xf borderId="28" fillId="0" fontId="14" numFmtId="0" xfId="0" applyBorder="1" applyFont="1"/>
    <xf borderId="70" fillId="0" fontId="7" numFmtId="0" xfId="0" applyBorder="1" applyFont="1"/>
    <xf borderId="71" fillId="0" fontId="21" numFmtId="0" xfId="0" applyBorder="1" applyFont="1"/>
    <xf borderId="62" fillId="0" fontId="14" numFmtId="0" xfId="0" applyBorder="1" applyFont="1"/>
    <xf borderId="72" fillId="0" fontId="14" numFmtId="0" xfId="0" applyBorder="1" applyFont="1"/>
    <xf borderId="70" fillId="0" fontId="14" numFmtId="0" xfId="0" applyBorder="1" applyFont="1"/>
    <xf borderId="0" fillId="0" fontId="2" numFmtId="0" xfId="0" applyAlignment="1" applyFont="1">
      <alignment horizontal="center"/>
    </xf>
    <xf borderId="1" fillId="0" fontId="21" numFmtId="0" xfId="0" applyAlignment="1" applyBorder="1" applyFont="1">
      <alignment vertical="center"/>
    </xf>
    <xf borderId="1" fillId="0" fontId="21" numFmtId="0" xfId="0" applyBorder="1" applyFont="1"/>
    <xf borderId="17" fillId="0" fontId="21" numFmtId="0" xfId="0" applyBorder="1" applyFont="1"/>
    <xf borderId="0" fillId="0" fontId="14" numFmtId="0" xfId="0" applyAlignment="1" applyFont="1">
      <alignment horizontal="right"/>
    </xf>
    <xf borderId="73" fillId="5" fontId="22" numFmtId="0" xfId="0" applyBorder="1" applyFill="1" applyFont="1"/>
    <xf quotePrefix="1" borderId="0" fillId="0" fontId="14" numFmtId="166" xfId="0" applyFont="1" applyNumberFormat="1"/>
    <xf borderId="71" fillId="0" fontId="21" numFmtId="3" xfId="0" applyBorder="1" applyFont="1" applyNumberFormat="1"/>
    <xf quotePrefix="1" borderId="0" fillId="0" fontId="14" numFmtId="169" xfId="0" applyFont="1" applyNumberFormat="1"/>
    <xf borderId="74" fillId="0" fontId="14" numFmtId="166" xfId="0" applyBorder="1" applyFont="1" applyNumberFormat="1"/>
    <xf borderId="71" fillId="0" fontId="23" numFmtId="3"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495300</xdr:colOff>
      <xdr:row>3</xdr:row>
      <xdr:rowOff>152400</xdr:rowOff>
    </xdr:from>
    <xdr:ext cx="4724400" cy="6981825"/>
    <xdr:pic>
      <xdr:nvPicPr>
        <xdr:cNvPr descr="Sales less sales discounts and sales commissions equals net sales. Net sales less costof goods slod gives you Opening stock figure and the Cost of goods sold. Opening stock plus stock purchases equals stock available for sale less closing stock. Cost of goods sold equals gross profit.  Gross profit less expenses (fixed &amp; variable) equals net profit. "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10029825" cy="5124450"/>
    <xdr:pic>
      <xdr:nvPicPr>
        <xdr:cNvPr descr="Balance sheet, cashflow and Profit &amp; Loss statements side by side, showing the relationship between the information they present. &#10;e.g. debtors in the balance sheet rleates to Funding to Debtors in the Cashflow. Sales in P&amp;L appears as Receipts from Income in Cashflow statement. "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63"/>
    <col customWidth="1" min="2" max="3" width="8.88"/>
    <col customWidth="1" min="4" max="4" width="6.5"/>
    <col customWidth="1" min="5" max="5" width="14.63"/>
    <col customWidth="1" min="6" max="6" width="27.63"/>
    <col customWidth="1" min="7" max="7" width="18.38"/>
    <col customWidth="1" min="8" max="8" width="24.13"/>
    <col customWidth="1" min="9" max="26" width="8.88"/>
  </cols>
  <sheetData>
    <row r="1" ht="12.0" customHeight="1">
      <c r="A1" s="1" t="s">
        <v>0</v>
      </c>
      <c r="B1" s="2"/>
    </row>
    <row r="2" ht="171.0" customHeight="1">
      <c r="A2" s="3" t="s">
        <v>1</v>
      </c>
    </row>
    <row r="3" ht="15.0" customHeight="1">
      <c r="A3" s="3" t="s">
        <v>2</v>
      </c>
      <c r="B3" s="2"/>
      <c r="E3" s="4" t="s">
        <v>3</v>
      </c>
      <c r="F3" s="5"/>
      <c r="G3" s="5"/>
      <c r="H3" s="6"/>
    </row>
    <row r="4" ht="15.0" customHeight="1">
      <c r="A4" s="2"/>
      <c r="B4" s="2"/>
      <c r="E4" s="7" t="s">
        <v>4</v>
      </c>
      <c r="F4" s="8"/>
      <c r="G4" s="8"/>
      <c r="H4" s="9"/>
    </row>
    <row r="5" ht="15.0" customHeight="1">
      <c r="A5" s="2"/>
      <c r="B5" s="2"/>
      <c r="E5" s="7" t="s">
        <v>5</v>
      </c>
      <c r="F5" s="8"/>
      <c r="G5" s="8"/>
      <c r="H5" s="9"/>
    </row>
    <row r="6" ht="12.0" customHeight="1">
      <c r="A6" s="2"/>
      <c r="B6" s="2"/>
      <c r="E6" s="10" t="s">
        <v>6</v>
      </c>
      <c r="F6" s="2"/>
      <c r="G6" s="2"/>
      <c r="H6" s="11"/>
    </row>
    <row r="7" ht="12.0" customHeight="1">
      <c r="A7" s="2"/>
      <c r="B7" s="2"/>
      <c r="E7" s="12"/>
      <c r="F7" s="2" t="s">
        <v>7</v>
      </c>
      <c r="G7" s="2">
        <v>52000.0</v>
      </c>
      <c r="H7" s="11" t="s">
        <v>8</v>
      </c>
    </row>
    <row r="8" ht="18.75" customHeight="1">
      <c r="A8" s="2"/>
      <c r="B8" s="2"/>
      <c r="E8" s="12"/>
      <c r="F8" s="2" t="s">
        <v>9</v>
      </c>
      <c r="G8" s="2">
        <v>52000.0</v>
      </c>
      <c r="H8" s="11"/>
    </row>
    <row r="9" ht="12.0" customHeight="1">
      <c r="E9" s="12" t="s">
        <v>10</v>
      </c>
      <c r="F9" s="2"/>
      <c r="G9" s="2"/>
      <c r="H9" s="11"/>
    </row>
    <row r="10" ht="12.0" customHeight="1">
      <c r="E10" s="12"/>
      <c r="F10" s="2" t="s">
        <v>11</v>
      </c>
      <c r="G10" s="2" t="s">
        <v>12</v>
      </c>
      <c r="H10" s="11"/>
    </row>
    <row r="11" ht="12.0" customHeight="1">
      <c r="E11" s="12"/>
      <c r="F11" s="2" t="s">
        <v>13</v>
      </c>
      <c r="G11" s="2">
        <v>34320.0</v>
      </c>
      <c r="H11" s="11"/>
    </row>
    <row r="12" ht="15.0" customHeight="1">
      <c r="E12" s="12"/>
      <c r="F12" s="2" t="s">
        <v>14</v>
      </c>
      <c r="G12" s="2">
        <v>3120.0</v>
      </c>
      <c r="H12" s="11"/>
    </row>
    <row r="13" ht="12.0" customHeight="1">
      <c r="E13" s="13" t="s">
        <v>15</v>
      </c>
      <c r="F13" s="13"/>
      <c r="G13" s="13">
        <v>31200.0</v>
      </c>
      <c r="H13" s="11" t="s">
        <v>16</v>
      </c>
    </row>
    <row r="14" ht="12.0" customHeight="1">
      <c r="E14" s="10" t="s">
        <v>17</v>
      </c>
      <c r="F14" s="14"/>
      <c r="G14" s="2">
        <v>20800.0</v>
      </c>
      <c r="H14" s="11"/>
    </row>
    <row r="15" ht="12.0" customHeight="1">
      <c r="E15" s="12" t="s">
        <v>18</v>
      </c>
      <c r="F15" s="2"/>
      <c r="G15" s="2"/>
      <c r="H15" s="11"/>
    </row>
    <row r="16" ht="12.0" customHeight="1">
      <c r="E16" s="12"/>
      <c r="F16" s="2" t="s">
        <v>19</v>
      </c>
      <c r="G16" s="2">
        <v>500.0</v>
      </c>
      <c r="H16" s="11"/>
    </row>
    <row r="17" ht="12.0" customHeight="1">
      <c r="E17" s="12"/>
      <c r="F17" s="2" t="s">
        <v>20</v>
      </c>
      <c r="G17" s="2">
        <v>120.0</v>
      </c>
      <c r="H17" s="11"/>
    </row>
    <row r="18" ht="12.0" customHeight="1">
      <c r="E18" s="12"/>
      <c r="F18" s="2" t="s">
        <v>21</v>
      </c>
      <c r="G18" s="2">
        <v>500.0</v>
      </c>
      <c r="H18" s="11"/>
    </row>
    <row r="19" ht="12.0" customHeight="1">
      <c r="E19" s="12"/>
      <c r="F19" s="2" t="s">
        <v>22</v>
      </c>
      <c r="G19" s="2">
        <v>13000.0</v>
      </c>
      <c r="H19" s="11"/>
    </row>
    <row r="20" ht="12.0" customHeight="1">
      <c r="E20" s="12"/>
      <c r="F20" s="2" t="s">
        <v>23</v>
      </c>
      <c r="G20" s="2">
        <v>200.0</v>
      </c>
      <c r="H20" s="11"/>
    </row>
    <row r="21" ht="12.0" customHeight="1">
      <c r="E21" s="12"/>
      <c r="F21" s="2" t="s">
        <v>24</v>
      </c>
      <c r="G21" s="2">
        <v>800.0</v>
      </c>
      <c r="H21" s="11"/>
    </row>
    <row r="22" ht="12.0" customHeight="1">
      <c r="E22" s="12"/>
      <c r="F22" s="2" t="s">
        <v>25</v>
      </c>
      <c r="G22" s="2">
        <v>480.0</v>
      </c>
      <c r="H22" s="11"/>
    </row>
    <row r="23" ht="12.0" customHeight="1">
      <c r="E23" s="12"/>
      <c r="F23" s="2" t="s">
        <v>26</v>
      </c>
      <c r="G23" s="2">
        <v>15600.0</v>
      </c>
      <c r="H23" s="11"/>
    </row>
    <row r="24" ht="12.0" customHeight="1">
      <c r="E24" s="13" t="s">
        <v>27</v>
      </c>
      <c r="F24" s="13"/>
      <c r="G24" s="13">
        <v>5200.0</v>
      </c>
      <c r="H24" s="15"/>
    </row>
    <row r="25" ht="12.0" customHeight="1"/>
    <row r="26" ht="15.0" customHeight="1">
      <c r="E26" s="16" t="s">
        <v>28</v>
      </c>
      <c r="F26" s="17"/>
      <c r="G26" s="17"/>
      <c r="H26" s="18"/>
    </row>
    <row r="27" ht="44.25" customHeight="1">
      <c r="E27" s="19" t="s">
        <v>29</v>
      </c>
      <c r="F27" s="20"/>
      <c r="G27" s="20"/>
      <c r="H27" s="21"/>
    </row>
    <row r="28" ht="15.0" customHeight="1">
      <c r="E28" s="22" t="s">
        <v>30</v>
      </c>
      <c r="H28" s="23"/>
    </row>
    <row r="29" ht="14.25" customHeight="1">
      <c r="E29" s="22" t="s">
        <v>31</v>
      </c>
      <c r="F29" s="2"/>
      <c r="G29" s="2"/>
      <c r="H29" s="24"/>
    </row>
    <row r="30" ht="28.5" customHeight="1">
      <c r="E30" s="22" t="s">
        <v>32</v>
      </c>
      <c r="F30" s="2"/>
      <c r="G30" s="25">
        <v>34320.0</v>
      </c>
      <c r="H30" s="24" t="s">
        <v>33</v>
      </c>
    </row>
    <row r="31" ht="20.25" customHeight="1">
      <c r="E31" s="22" t="s">
        <v>34</v>
      </c>
      <c r="F31" s="2"/>
      <c r="G31" s="25">
        <v>34320.0</v>
      </c>
      <c r="H31" s="24"/>
    </row>
    <row r="32" ht="23.25" customHeight="1">
      <c r="E32" s="22" t="s">
        <v>35</v>
      </c>
      <c r="F32" s="2"/>
      <c r="G32" s="25">
        <v>3120.0</v>
      </c>
      <c r="H32" s="24" t="s">
        <v>36</v>
      </c>
    </row>
    <row r="33" ht="14.25" customHeight="1">
      <c r="E33" s="13" t="s">
        <v>37</v>
      </c>
      <c r="F33" s="13"/>
      <c r="G33" s="26">
        <v>31200.0</v>
      </c>
      <c r="H33" s="13"/>
    </row>
    <row r="34" ht="73.5" customHeight="1">
      <c r="E34" s="27" t="s">
        <v>38</v>
      </c>
      <c r="F34" s="28"/>
      <c r="G34" s="28"/>
      <c r="H34" s="29"/>
    </row>
    <row r="35" ht="114.75" customHeight="1">
      <c r="B35" s="30"/>
      <c r="C35" s="2"/>
    </row>
    <row r="36" ht="12.0" customHeight="1">
      <c r="A36" s="31" t="s">
        <v>39</v>
      </c>
    </row>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4">
    <mergeCell ref="E26:H26"/>
    <mergeCell ref="E27:H27"/>
    <mergeCell ref="E28:H28"/>
    <mergeCell ref="E34:H34"/>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0"/>
    <col customWidth="1" min="2" max="3" width="8.88"/>
    <col customWidth="1" min="4" max="11" width="10.0"/>
    <col customWidth="1" min="12" max="12" width="11.0"/>
    <col customWidth="1" min="13" max="13" width="10.5"/>
    <col customWidth="1" min="14" max="14" width="8.88"/>
    <col customWidth="1" min="15" max="15" width="100.5"/>
    <col customWidth="1" min="16" max="26" width="8.88"/>
  </cols>
  <sheetData>
    <row r="1" ht="12.0" customHeight="1">
      <c r="A1" s="1" t="s">
        <v>40</v>
      </c>
      <c r="O1" s="2"/>
    </row>
    <row r="2" ht="12.0" customHeight="1">
      <c r="A2" s="32" t="s">
        <v>41</v>
      </c>
      <c r="B2" s="2"/>
      <c r="C2" s="2"/>
      <c r="D2" s="2"/>
      <c r="E2" s="2"/>
      <c r="F2" s="2"/>
      <c r="G2" s="2"/>
      <c r="H2" s="2"/>
      <c r="I2" s="2"/>
      <c r="J2" s="2"/>
      <c r="K2" s="2"/>
      <c r="L2" s="2"/>
      <c r="M2" s="2"/>
      <c r="N2" s="2"/>
      <c r="O2" s="2"/>
      <c r="P2" s="2"/>
      <c r="Q2" s="2"/>
      <c r="R2" s="2"/>
      <c r="S2" s="2"/>
      <c r="T2" s="2"/>
      <c r="U2" s="2"/>
      <c r="V2" s="2"/>
      <c r="W2" s="2"/>
      <c r="X2" s="2"/>
      <c r="Y2" s="2"/>
      <c r="Z2" s="2"/>
    </row>
    <row r="3" ht="12.0" customHeight="1">
      <c r="A3" s="2" t="s">
        <v>42</v>
      </c>
      <c r="B3" s="2"/>
      <c r="C3" s="2"/>
      <c r="D3" s="2"/>
      <c r="E3" s="2"/>
      <c r="F3" s="2"/>
      <c r="G3" s="2"/>
      <c r="H3" s="2"/>
      <c r="I3" s="2"/>
      <c r="J3" s="2"/>
      <c r="K3" s="2"/>
      <c r="L3" s="2"/>
      <c r="M3" s="2"/>
      <c r="N3" s="2"/>
      <c r="O3" s="2"/>
      <c r="P3" s="2"/>
      <c r="Q3" s="2"/>
      <c r="R3" s="2"/>
      <c r="S3" s="2"/>
      <c r="T3" s="2"/>
      <c r="U3" s="2"/>
      <c r="V3" s="2"/>
      <c r="W3" s="2"/>
      <c r="X3" s="2"/>
      <c r="Y3" s="2"/>
      <c r="Z3" s="2"/>
    </row>
    <row r="4" ht="12.0" customHeight="1">
      <c r="A4" s="2" t="s">
        <v>43</v>
      </c>
      <c r="B4" s="2"/>
      <c r="C4" s="2"/>
      <c r="D4" s="2"/>
      <c r="E4" s="2"/>
      <c r="F4" s="2"/>
      <c r="G4" s="2"/>
      <c r="H4" s="2"/>
      <c r="I4" s="2"/>
      <c r="J4" s="2"/>
      <c r="K4" s="2"/>
      <c r="L4" s="2"/>
      <c r="M4" s="2"/>
      <c r="N4" s="2"/>
      <c r="O4" s="2"/>
      <c r="P4" s="2"/>
      <c r="Q4" s="2"/>
      <c r="R4" s="2"/>
      <c r="S4" s="2"/>
      <c r="T4" s="2"/>
      <c r="U4" s="2"/>
      <c r="V4" s="2"/>
      <c r="W4" s="2"/>
      <c r="X4" s="2"/>
      <c r="Y4" s="2"/>
      <c r="Z4" s="2"/>
    </row>
    <row r="5" ht="12.0" customHeight="1">
      <c r="A5" s="33" t="s">
        <v>44</v>
      </c>
      <c r="B5" s="34">
        <v>43466.0</v>
      </c>
      <c r="C5" s="34">
        <f>DATE(YEAR(B5),MONTH(B5)+1,1)</f>
        <v>43497</v>
      </c>
      <c r="D5" s="34">
        <f>DATE(YEAR(B5),MONTH(B5)+2,1)</f>
        <v>43525</v>
      </c>
      <c r="E5" s="34">
        <f>DATE(YEAR(B5),MONTH(B5)+3,1)</f>
        <v>43556</v>
      </c>
      <c r="F5" s="34">
        <f>DATE(YEAR(B5),MONTH(B5)+4,1)</f>
        <v>43586</v>
      </c>
      <c r="G5" s="34">
        <f>DATE(YEAR(B5),MONTH(B5)+5,1)</f>
        <v>43617</v>
      </c>
      <c r="H5" s="34">
        <f>DATE(YEAR(B5),MONTH(B5)+6,1)</f>
        <v>43647</v>
      </c>
      <c r="I5" s="34">
        <f>DATE(YEAR(B5),MONTH(B5)+7,1)</f>
        <v>43678</v>
      </c>
      <c r="J5" s="34">
        <f>DATE(YEAR(B5),MONTH(B5)+8,1)</f>
        <v>43709</v>
      </c>
      <c r="K5" s="34">
        <f>DATE(YEAR(B5),MONTH(B5)+9,1)</f>
        <v>43739</v>
      </c>
      <c r="L5" s="34">
        <f>DATE(YEAR(B5),MONTH(B5)+10,1)</f>
        <v>43770</v>
      </c>
      <c r="M5" s="35">
        <f>DATE(YEAR(B5),MONTH(B5)+11,1)</f>
        <v>43800</v>
      </c>
      <c r="O5" s="2"/>
    </row>
    <row r="6" ht="12.0" customHeight="1">
      <c r="A6" s="36" t="s">
        <v>6</v>
      </c>
      <c r="B6" s="37" t="s">
        <v>45</v>
      </c>
      <c r="C6" s="37" t="s">
        <v>45</v>
      </c>
      <c r="D6" s="37" t="s">
        <v>45</v>
      </c>
      <c r="E6" s="37" t="s">
        <v>45</v>
      </c>
      <c r="F6" s="37" t="s">
        <v>45</v>
      </c>
      <c r="G6" s="37" t="s">
        <v>45</v>
      </c>
      <c r="H6" s="37" t="s">
        <v>45</v>
      </c>
      <c r="I6" s="37" t="s">
        <v>45</v>
      </c>
      <c r="J6" s="37" t="s">
        <v>45</v>
      </c>
      <c r="K6" s="37" t="s">
        <v>45</v>
      </c>
      <c r="L6" s="37" t="s">
        <v>45</v>
      </c>
      <c r="M6" s="37" t="s">
        <v>45</v>
      </c>
      <c r="O6" s="38"/>
    </row>
    <row r="7" ht="12.0" customHeight="1">
      <c r="A7" s="39" t="s">
        <v>7</v>
      </c>
      <c r="B7" s="37" t="s">
        <v>45</v>
      </c>
      <c r="C7" s="37" t="s">
        <v>45</v>
      </c>
      <c r="D7" s="37" t="s">
        <v>45</v>
      </c>
      <c r="E7" s="37" t="s">
        <v>45</v>
      </c>
      <c r="F7" s="37" t="s">
        <v>45</v>
      </c>
      <c r="G7" s="37" t="s">
        <v>45</v>
      </c>
      <c r="H7" s="37" t="s">
        <v>45</v>
      </c>
      <c r="I7" s="37" t="s">
        <v>45</v>
      </c>
      <c r="J7" s="37" t="s">
        <v>45</v>
      </c>
      <c r="K7" s="37" t="s">
        <v>45</v>
      </c>
      <c r="L7" s="37" t="s">
        <v>45</v>
      </c>
      <c r="M7" s="37" t="s">
        <v>45</v>
      </c>
      <c r="O7" s="2"/>
    </row>
    <row r="8" ht="12.0" customHeight="1">
      <c r="A8" s="40" t="s">
        <v>46</v>
      </c>
      <c r="B8" s="41">
        <v>0.0</v>
      </c>
      <c r="C8" s="41">
        <v>0.0</v>
      </c>
      <c r="D8" s="41">
        <v>0.0</v>
      </c>
      <c r="E8" s="41">
        <v>0.0</v>
      </c>
      <c r="F8" s="41">
        <v>0.0</v>
      </c>
      <c r="G8" s="41">
        <v>0.0</v>
      </c>
      <c r="H8" s="41">
        <v>0.0</v>
      </c>
      <c r="I8" s="41">
        <v>0.0</v>
      </c>
      <c r="J8" s="41">
        <v>0.0</v>
      </c>
      <c r="K8" s="41">
        <v>0.0</v>
      </c>
      <c r="L8" s="41">
        <v>0.0</v>
      </c>
      <c r="M8" s="41">
        <v>0.0</v>
      </c>
      <c r="O8" s="2"/>
    </row>
    <row r="9" ht="29.25" customHeight="1">
      <c r="A9" s="42" t="s">
        <v>47</v>
      </c>
      <c r="B9" s="41">
        <v>0.0</v>
      </c>
      <c r="C9" s="41">
        <v>0.0</v>
      </c>
      <c r="D9" s="41">
        <v>0.0</v>
      </c>
      <c r="E9" s="41">
        <v>0.0</v>
      </c>
      <c r="F9" s="41">
        <v>0.0</v>
      </c>
      <c r="G9" s="41">
        <v>0.0</v>
      </c>
      <c r="H9" s="41">
        <v>0.0</v>
      </c>
      <c r="I9" s="41">
        <v>0.0</v>
      </c>
      <c r="J9" s="41">
        <v>0.0</v>
      </c>
      <c r="K9" s="41">
        <v>0.0</v>
      </c>
      <c r="L9" s="41">
        <v>0.0</v>
      </c>
      <c r="M9" s="41">
        <v>0.0</v>
      </c>
      <c r="O9" s="2"/>
    </row>
    <row r="10" ht="12.0" customHeight="1">
      <c r="A10" s="43" t="s">
        <v>48</v>
      </c>
      <c r="B10" s="44">
        <v>0.0</v>
      </c>
      <c r="C10" s="44">
        <v>0.0</v>
      </c>
      <c r="D10" s="44">
        <v>0.0</v>
      </c>
      <c r="E10" s="44">
        <v>0.0</v>
      </c>
      <c r="F10" s="44">
        <v>0.0</v>
      </c>
      <c r="G10" s="44">
        <v>0.0</v>
      </c>
      <c r="H10" s="44">
        <v>0.0</v>
      </c>
      <c r="I10" s="44">
        <v>0.0</v>
      </c>
      <c r="J10" s="44">
        <v>0.0</v>
      </c>
      <c r="K10" s="44">
        <v>0.0</v>
      </c>
      <c r="L10" s="44">
        <v>0.0</v>
      </c>
      <c r="M10" s="44">
        <v>0.0</v>
      </c>
      <c r="O10" s="2"/>
    </row>
    <row r="11" ht="12.0" customHeight="1">
      <c r="A11" s="45" t="s">
        <v>49</v>
      </c>
      <c r="B11" s="46">
        <f t="shared" ref="B11:M11" si="1">SUM(B7:B10)</f>
        <v>0</v>
      </c>
      <c r="C11" s="46">
        <f t="shared" si="1"/>
        <v>0</v>
      </c>
      <c r="D11" s="46">
        <f t="shared" si="1"/>
        <v>0</v>
      </c>
      <c r="E11" s="46">
        <f t="shared" si="1"/>
        <v>0</v>
      </c>
      <c r="F11" s="46">
        <f t="shared" si="1"/>
        <v>0</v>
      </c>
      <c r="G11" s="46">
        <f t="shared" si="1"/>
        <v>0</v>
      </c>
      <c r="H11" s="46">
        <f t="shared" si="1"/>
        <v>0</v>
      </c>
      <c r="I11" s="46">
        <f t="shared" si="1"/>
        <v>0</v>
      </c>
      <c r="J11" s="46">
        <f t="shared" si="1"/>
        <v>0</v>
      </c>
      <c r="K11" s="46">
        <f t="shared" si="1"/>
        <v>0</v>
      </c>
      <c r="L11" s="46">
        <f t="shared" si="1"/>
        <v>0</v>
      </c>
      <c r="M11" s="47">
        <f t="shared" si="1"/>
        <v>0</v>
      </c>
      <c r="O11" s="2"/>
    </row>
    <row r="12" ht="12.0" customHeight="1">
      <c r="A12" s="48" t="s">
        <v>50</v>
      </c>
      <c r="B12" s="49" t="s">
        <v>45</v>
      </c>
      <c r="C12" s="49" t="s">
        <v>45</v>
      </c>
      <c r="D12" s="49" t="s">
        <v>45</v>
      </c>
      <c r="E12" s="49" t="s">
        <v>45</v>
      </c>
      <c r="F12" s="49" t="s">
        <v>45</v>
      </c>
      <c r="G12" s="49" t="s">
        <v>45</v>
      </c>
      <c r="H12" s="49" t="s">
        <v>45</v>
      </c>
      <c r="I12" s="49" t="s">
        <v>45</v>
      </c>
      <c r="J12" s="49" t="s">
        <v>45</v>
      </c>
      <c r="K12" s="49" t="s">
        <v>45</v>
      </c>
      <c r="L12" s="49" t="s">
        <v>45</v>
      </c>
      <c r="M12" s="49" t="s">
        <v>45</v>
      </c>
      <c r="O12" s="2"/>
    </row>
    <row r="13" ht="12.0" customHeight="1">
      <c r="A13" s="40" t="s">
        <v>51</v>
      </c>
      <c r="B13" s="41">
        <v>0.0</v>
      </c>
      <c r="C13" s="41">
        <v>0.0</v>
      </c>
      <c r="D13" s="41">
        <v>0.0</v>
      </c>
      <c r="E13" s="41">
        <v>0.0</v>
      </c>
      <c r="F13" s="41">
        <v>0.0</v>
      </c>
      <c r="G13" s="41">
        <v>0.0</v>
      </c>
      <c r="H13" s="41">
        <v>0.0</v>
      </c>
      <c r="I13" s="41">
        <v>0.0</v>
      </c>
      <c r="J13" s="41">
        <v>0.0</v>
      </c>
      <c r="K13" s="41">
        <v>0.0</v>
      </c>
      <c r="L13" s="41">
        <v>0.0</v>
      </c>
      <c r="M13" s="41">
        <v>0.0</v>
      </c>
      <c r="O13" s="2"/>
    </row>
    <row r="14" ht="12.0" customHeight="1">
      <c r="A14" s="40" t="s">
        <v>52</v>
      </c>
      <c r="B14" s="44">
        <v>0.0</v>
      </c>
      <c r="C14" s="44">
        <v>0.0</v>
      </c>
      <c r="D14" s="44">
        <v>0.0</v>
      </c>
      <c r="E14" s="44">
        <v>0.0</v>
      </c>
      <c r="F14" s="44">
        <v>0.0</v>
      </c>
      <c r="G14" s="44">
        <v>0.0</v>
      </c>
      <c r="H14" s="44">
        <v>0.0</v>
      </c>
      <c r="I14" s="44">
        <v>0.0</v>
      </c>
      <c r="J14" s="44">
        <v>0.0</v>
      </c>
      <c r="K14" s="44">
        <v>0.0</v>
      </c>
      <c r="L14" s="44">
        <v>0.0</v>
      </c>
      <c r="M14" s="44">
        <v>0.0</v>
      </c>
      <c r="O14" s="2"/>
    </row>
    <row r="15" ht="12.0" customHeight="1">
      <c r="A15" s="45" t="s">
        <v>53</v>
      </c>
      <c r="B15" s="46">
        <f t="shared" ref="B15:M15" si="2">SUM(B13:B14)</f>
        <v>0</v>
      </c>
      <c r="C15" s="46">
        <f t="shared" si="2"/>
        <v>0</v>
      </c>
      <c r="D15" s="46">
        <f t="shared" si="2"/>
        <v>0</v>
      </c>
      <c r="E15" s="46">
        <f t="shared" si="2"/>
        <v>0</v>
      </c>
      <c r="F15" s="46">
        <f t="shared" si="2"/>
        <v>0</v>
      </c>
      <c r="G15" s="46">
        <f t="shared" si="2"/>
        <v>0</v>
      </c>
      <c r="H15" s="46">
        <f t="shared" si="2"/>
        <v>0</v>
      </c>
      <c r="I15" s="46">
        <f t="shared" si="2"/>
        <v>0</v>
      </c>
      <c r="J15" s="46">
        <f t="shared" si="2"/>
        <v>0</v>
      </c>
      <c r="K15" s="46">
        <f t="shared" si="2"/>
        <v>0</v>
      </c>
      <c r="L15" s="46">
        <f t="shared" si="2"/>
        <v>0</v>
      </c>
      <c r="M15" s="47">
        <f t="shared" si="2"/>
        <v>0</v>
      </c>
      <c r="O15" s="2"/>
    </row>
    <row r="16" ht="12.0" customHeight="1">
      <c r="A16" s="36" t="s">
        <v>54</v>
      </c>
      <c r="B16" s="46">
        <f t="shared" ref="B16:M16" si="3">B11-B15</f>
        <v>0</v>
      </c>
      <c r="C16" s="46">
        <f t="shared" si="3"/>
        <v>0</v>
      </c>
      <c r="D16" s="46">
        <f t="shared" si="3"/>
        <v>0</v>
      </c>
      <c r="E16" s="46">
        <f t="shared" si="3"/>
        <v>0</v>
      </c>
      <c r="F16" s="46">
        <f t="shared" si="3"/>
        <v>0</v>
      </c>
      <c r="G16" s="46">
        <f t="shared" si="3"/>
        <v>0</v>
      </c>
      <c r="H16" s="46">
        <f t="shared" si="3"/>
        <v>0</v>
      </c>
      <c r="I16" s="46">
        <f t="shared" si="3"/>
        <v>0</v>
      </c>
      <c r="J16" s="46">
        <f t="shared" si="3"/>
        <v>0</v>
      </c>
      <c r="K16" s="46">
        <f t="shared" si="3"/>
        <v>0</v>
      </c>
      <c r="L16" s="46">
        <f t="shared" si="3"/>
        <v>0</v>
      </c>
      <c r="M16" s="47">
        <f t="shared" si="3"/>
        <v>0</v>
      </c>
      <c r="O16" s="2"/>
    </row>
    <row r="17" ht="12.0" customHeight="1">
      <c r="A17" s="50" t="s">
        <v>55</v>
      </c>
      <c r="B17" s="51" t="s">
        <v>45</v>
      </c>
      <c r="C17" s="51" t="s">
        <v>45</v>
      </c>
      <c r="D17" s="51" t="s">
        <v>45</v>
      </c>
      <c r="E17" s="51" t="s">
        <v>45</v>
      </c>
      <c r="F17" s="51" t="s">
        <v>45</v>
      </c>
      <c r="G17" s="51" t="s">
        <v>45</v>
      </c>
      <c r="H17" s="51" t="s">
        <v>45</v>
      </c>
      <c r="I17" s="51" t="s">
        <v>45</v>
      </c>
      <c r="J17" s="51" t="s">
        <v>45</v>
      </c>
      <c r="K17" s="51" t="s">
        <v>45</v>
      </c>
      <c r="L17" s="51" t="s">
        <v>45</v>
      </c>
      <c r="M17" s="51" t="s">
        <v>45</v>
      </c>
      <c r="O17" s="2"/>
    </row>
    <row r="18" ht="12.0" customHeight="1">
      <c r="A18" s="40" t="s">
        <v>11</v>
      </c>
      <c r="B18" s="41">
        <v>0.0</v>
      </c>
      <c r="C18" s="41">
        <v>0.0</v>
      </c>
      <c r="D18" s="41">
        <v>0.0</v>
      </c>
      <c r="E18" s="41">
        <v>0.0</v>
      </c>
      <c r="F18" s="41">
        <v>0.0</v>
      </c>
      <c r="G18" s="41">
        <v>0.0</v>
      </c>
      <c r="H18" s="41">
        <v>0.0</v>
      </c>
      <c r="I18" s="41">
        <v>0.0</v>
      </c>
      <c r="J18" s="41">
        <v>0.0</v>
      </c>
      <c r="K18" s="41">
        <v>0.0</v>
      </c>
      <c r="L18" s="41">
        <v>0.0</v>
      </c>
      <c r="M18" s="41">
        <v>0.0</v>
      </c>
      <c r="O18" s="2"/>
    </row>
    <row r="19" ht="12.0" customHeight="1">
      <c r="A19" s="40" t="s">
        <v>56</v>
      </c>
      <c r="B19" s="44">
        <v>0.0</v>
      </c>
      <c r="C19" s="44">
        <v>0.0</v>
      </c>
      <c r="D19" s="44">
        <v>0.0</v>
      </c>
      <c r="E19" s="44">
        <v>0.0</v>
      </c>
      <c r="F19" s="44">
        <v>0.0</v>
      </c>
      <c r="G19" s="44">
        <v>0.0</v>
      </c>
      <c r="H19" s="44">
        <v>0.0</v>
      </c>
      <c r="I19" s="44">
        <v>0.0</v>
      </c>
      <c r="J19" s="44">
        <v>0.0</v>
      </c>
      <c r="K19" s="44">
        <v>0.0</v>
      </c>
      <c r="L19" s="44">
        <v>0.0</v>
      </c>
      <c r="M19" s="44">
        <v>0.0</v>
      </c>
      <c r="O19" s="2"/>
    </row>
    <row r="20" ht="12.0" customHeight="1">
      <c r="A20" s="52"/>
      <c r="B20" s="41">
        <f t="shared" ref="B20:M20" si="4">SUM(B18:B19)</f>
        <v>0</v>
      </c>
      <c r="C20" s="41">
        <f t="shared" si="4"/>
        <v>0</v>
      </c>
      <c r="D20" s="41">
        <f t="shared" si="4"/>
        <v>0</v>
      </c>
      <c r="E20" s="41">
        <f t="shared" si="4"/>
        <v>0</v>
      </c>
      <c r="F20" s="41">
        <f t="shared" si="4"/>
        <v>0</v>
      </c>
      <c r="G20" s="41">
        <f t="shared" si="4"/>
        <v>0</v>
      </c>
      <c r="H20" s="41">
        <f t="shared" si="4"/>
        <v>0</v>
      </c>
      <c r="I20" s="41">
        <f t="shared" si="4"/>
        <v>0</v>
      </c>
      <c r="J20" s="41">
        <f t="shared" si="4"/>
        <v>0</v>
      </c>
      <c r="K20" s="41">
        <f t="shared" si="4"/>
        <v>0</v>
      </c>
      <c r="L20" s="41">
        <f t="shared" si="4"/>
        <v>0</v>
      </c>
      <c r="M20" s="41">
        <f t="shared" si="4"/>
        <v>0</v>
      </c>
      <c r="O20" s="2"/>
    </row>
    <row r="21" ht="12.0" customHeight="1">
      <c r="A21" s="40" t="s">
        <v>14</v>
      </c>
      <c r="B21" s="41">
        <v>0.0</v>
      </c>
      <c r="C21" s="41">
        <v>0.0</v>
      </c>
      <c r="D21" s="41">
        <v>0.0</v>
      </c>
      <c r="E21" s="41">
        <v>0.0</v>
      </c>
      <c r="F21" s="41">
        <v>0.0</v>
      </c>
      <c r="G21" s="41">
        <v>0.0</v>
      </c>
      <c r="H21" s="41">
        <v>0.0</v>
      </c>
      <c r="I21" s="41">
        <v>0.0</v>
      </c>
      <c r="J21" s="41">
        <v>0.0</v>
      </c>
      <c r="K21" s="41">
        <v>0.0</v>
      </c>
      <c r="L21" s="41">
        <v>0.0</v>
      </c>
      <c r="M21" s="41">
        <v>0.0</v>
      </c>
      <c r="O21" s="2"/>
    </row>
    <row r="22" ht="12.0" customHeight="1">
      <c r="A22" s="45" t="s">
        <v>57</v>
      </c>
      <c r="B22" s="53">
        <f t="shared" ref="B22:M22" si="5">B20-B21</f>
        <v>0</v>
      </c>
      <c r="C22" s="53">
        <f t="shared" si="5"/>
        <v>0</v>
      </c>
      <c r="D22" s="53">
        <f t="shared" si="5"/>
        <v>0</v>
      </c>
      <c r="E22" s="53">
        <f t="shared" si="5"/>
        <v>0</v>
      </c>
      <c r="F22" s="53">
        <f t="shared" si="5"/>
        <v>0</v>
      </c>
      <c r="G22" s="53">
        <f t="shared" si="5"/>
        <v>0</v>
      </c>
      <c r="H22" s="53">
        <f t="shared" si="5"/>
        <v>0</v>
      </c>
      <c r="I22" s="53">
        <f t="shared" si="5"/>
        <v>0</v>
      </c>
      <c r="J22" s="53">
        <f t="shared" si="5"/>
        <v>0</v>
      </c>
      <c r="K22" s="53">
        <f t="shared" si="5"/>
        <v>0</v>
      </c>
      <c r="L22" s="53">
        <f t="shared" si="5"/>
        <v>0</v>
      </c>
      <c r="M22" s="53">
        <f t="shared" si="5"/>
        <v>0</v>
      </c>
      <c r="O22" s="2"/>
    </row>
    <row r="23" ht="12.0" customHeight="1">
      <c r="A23" s="54"/>
      <c r="B23" s="55"/>
      <c r="C23" s="55"/>
      <c r="D23" s="55"/>
      <c r="E23" s="55"/>
      <c r="F23" s="55"/>
      <c r="G23" s="55"/>
      <c r="H23" s="55"/>
      <c r="I23" s="55"/>
      <c r="J23" s="55"/>
      <c r="K23" s="55"/>
      <c r="L23" s="55"/>
      <c r="M23" s="56"/>
      <c r="O23" s="2"/>
    </row>
    <row r="24" ht="12.0" customHeight="1">
      <c r="A24" s="57" t="s">
        <v>17</v>
      </c>
      <c r="B24" s="58">
        <f t="shared" ref="B24:M24" si="6">B16-B22</f>
        <v>0</v>
      </c>
      <c r="C24" s="58">
        <f t="shared" si="6"/>
        <v>0</v>
      </c>
      <c r="D24" s="58">
        <f t="shared" si="6"/>
        <v>0</v>
      </c>
      <c r="E24" s="58">
        <f t="shared" si="6"/>
        <v>0</v>
      </c>
      <c r="F24" s="58">
        <f t="shared" si="6"/>
        <v>0</v>
      </c>
      <c r="G24" s="58">
        <f t="shared" si="6"/>
        <v>0</v>
      </c>
      <c r="H24" s="58">
        <f t="shared" si="6"/>
        <v>0</v>
      </c>
      <c r="I24" s="58">
        <f t="shared" si="6"/>
        <v>0</v>
      </c>
      <c r="J24" s="58">
        <f t="shared" si="6"/>
        <v>0</v>
      </c>
      <c r="K24" s="58">
        <f t="shared" si="6"/>
        <v>0</v>
      </c>
      <c r="L24" s="58">
        <f t="shared" si="6"/>
        <v>0</v>
      </c>
      <c r="M24" s="58">
        <f t="shared" si="6"/>
        <v>0</v>
      </c>
      <c r="O24" s="2"/>
    </row>
    <row r="25" ht="12.0" customHeight="1">
      <c r="A25" s="59" t="s">
        <v>58</v>
      </c>
      <c r="B25" s="60" t="s">
        <v>45</v>
      </c>
      <c r="C25" s="60" t="s">
        <v>45</v>
      </c>
      <c r="D25" s="60" t="s">
        <v>45</v>
      </c>
      <c r="E25" s="60" t="s">
        <v>45</v>
      </c>
      <c r="F25" s="60" t="s">
        <v>45</v>
      </c>
      <c r="G25" s="60" t="s">
        <v>45</v>
      </c>
      <c r="H25" s="60" t="s">
        <v>45</v>
      </c>
      <c r="I25" s="60" t="s">
        <v>45</v>
      </c>
      <c r="J25" s="60" t="s">
        <v>45</v>
      </c>
      <c r="K25" s="60" t="s">
        <v>45</v>
      </c>
      <c r="L25" s="60" t="s">
        <v>45</v>
      </c>
      <c r="M25" s="60" t="s">
        <v>45</v>
      </c>
      <c r="O25" s="2"/>
    </row>
    <row r="26" ht="12.0" customHeight="1">
      <c r="A26" s="50" t="s">
        <v>59</v>
      </c>
      <c r="B26" s="51" t="s">
        <v>45</v>
      </c>
      <c r="C26" s="51" t="s">
        <v>45</v>
      </c>
      <c r="D26" s="51" t="s">
        <v>45</v>
      </c>
      <c r="E26" s="51" t="s">
        <v>45</v>
      </c>
      <c r="F26" s="51" t="s">
        <v>45</v>
      </c>
      <c r="G26" s="51" t="s">
        <v>45</v>
      </c>
      <c r="H26" s="51" t="s">
        <v>45</v>
      </c>
      <c r="I26" s="51" t="s">
        <v>45</v>
      </c>
      <c r="J26" s="51" t="s">
        <v>45</v>
      </c>
      <c r="K26" s="51" t="s">
        <v>45</v>
      </c>
      <c r="L26" s="51" t="s">
        <v>45</v>
      </c>
      <c r="M26" s="51" t="s">
        <v>45</v>
      </c>
      <c r="O26" s="2"/>
    </row>
    <row r="27" ht="12.0" customHeight="1">
      <c r="A27" s="40" t="s">
        <v>60</v>
      </c>
      <c r="B27" s="41">
        <v>0.0</v>
      </c>
      <c r="C27" s="41">
        <v>0.0</v>
      </c>
      <c r="D27" s="41">
        <v>0.0</v>
      </c>
      <c r="E27" s="41">
        <v>0.0</v>
      </c>
      <c r="F27" s="41">
        <v>0.0</v>
      </c>
      <c r="G27" s="41">
        <v>0.0</v>
      </c>
      <c r="H27" s="41">
        <v>0.0</v>
      </c>
      <c r="I27" s="41">
        <v>0.0</v>
      </c>
      <c r="J27" s="41">
        <v>0.0</v>
      </c>
      <c r="K27" s="41">
        <v>0.0</v>
      </c>
      <c r="L27" s="41">
        <v>0.0</v>
      </c>
      <c r="M27" s="41">
        <v>0.0</v>
      </c>
      <c r="O27" s="2"/>
    </row>
    <row r="28" ht="12.0" customHeight="1">
      <c r="A28" s="40" t="s">
        <v>61</v>
      </c>
      <c r="B28" s="44">
        <v>0.0</v>
      </c>
      <c r="C28" s="44">
        <v>0.0</v>
      </c>
      <c r="D28" s="44">
        <v>0.0</v>
      </c>
      <c r="E28" s="44">
        <v>0.0</v>
      </c>
      <c r="F28" s="44">
        <v>0.0</v>
      </c>
      <c r="G28" s="44">
        <v>0.0</v>
      </c>
      <c r="H28" s="44">
        <v>0.0</v>
      </c>
      <c r="I28" s="44">
        <v>0.0</v>
      </c>
      <c r="J28" s="44">
        <v>0.0</v>
      </c>
      <c r="K28" s="44">
        <v>0.0</v>
      </c>
      <c r="L28" s="44">
        <v>0.0</v>
      </c>
      <c r="M28" s="44">
        <v>0.0</v>
      </c>
      <c r="O28" s="2"/>
    </row>
    <row r="29" ht="12.0" customHeight="1">
      <c r="A29" s="40" t="s">
        <v>62</v>
      </c>
      <c r="B29" s="41">
        <v>0.0</v>
      </c>
      <c r="C29" s="41">
        <v>0.0</v>
      </c>
      <c r="D29" s="41">
        <v>0.0</v>
      </c>
      <c r="E29" s="41">
        <v>0.0</v>
      </c>
      <c r="F29" s="41">
        <v>0.0</v>
      </c>
      <c r="G29" s="41">
        <v>0.0</v>
      </c>
      <c r="H29" s="41">
        <v>0.0</v>
      </c>
      <c r="I29" s="41">
        <v>0.0</v>
      </c>
      <c r="J29" s="41">
        <v>0.0</v>
      </c>
      <c r="K29" s="41">
        <v>0.0</v>
      </c>
      <c r="L29" s="41">
        <v>0.0</v>
      </c>
      <c r="M29" s="41">
        <v>0.0</v>
      </c>
      <c r="O29" s="2"/>
    </row>
    <row r="30" ht="12.0" customHeight="1">
      <c r="A30" s="40" t="s">
        <v>63</v>
      </c>
      <c r="B30" s="44">
        <v>0.0</v>
      </c>
      <c r="C30" s="44">
        <v>0.0</v>
      </c>
      <c r="D30" s="44">
        <v>0.0</v>
      </c>
      <c r="E30" s="44">
        <v>0.0</v>
      </c>
      <c r="F30" s="44">
        <v>0.0</v>
      </c>
      <c r="G30" s="44">
        <v>0.0</v>
      </c>
      <c r="H30" s="44">
        <v>0.0</v>
      </c>
      <c r="I30" s="44">
        <v>0.0</v>
      </c>
      <c r="J30" s="44">
        <v>0.0</v>
      </c>
      <c r="K30" s="44">
        <v>0.0</v>
      </c>
      <c r="L30" s="44">
        <v>0.0</v>
      </c>
      <c r="M30" s="44">
        <v>0.0</v>
      </c>
      <c r="O30" s="2"/>
    </row>
    <row r="31" ht="12.0" customHeight="1">
      <c r="A31" s="40" t="s">
        <v>64</v>
      </c>
      <c r="B31" s="41">
        <v>0.0</v>
      </c>
      <c r="C31" s="41">
        <v>0.0</v>
      </c>
      <c r="D31" s="41">
        <v>0.0</v>
      </c>
      <c r="E31" s="41">
        <v>0.0</v>
      </c>
      <c r="F31" s="41">
        <v>0.0</v>
      </c>
      <c r="G31" s="41">
        <v>0.0</v>
      </c>
      <c r="H31" s="41">
        <v>0.0</v>
      </c>
      <c r="I31" s="41">
        <v>0.0</v>
      </c>
      <c r="J31" s="41">
        <v>0.0</v>
      </c>
      <c r="K31" s="41">
        <v>0.0</v>
      </c>
      <c r="L31" s="41">
        <v>0.0</v>
      </c>
      <c r="M31" s="41">
        <v>0.0</v>
      </c>
      <c r="O31" s="2"/>
    </row>
    <row r="32" ht="12.0" customHeight="1">
      <c r="A32" s="40" t="s">
        <v>65</v>
      </c>
      <c r="B32" s="41">
        <v>0.0</v>
      </c>
      <c r="C32" s="41">
        <v>0.0</v>
      </c>
      <c r="D32" s="41">
        <v>0.0</v>
      </c>
      <c r="E32" s="41">
        <v>0.0</v>
      </c>
      <c r="F32" s="41">
        <v>0.0</v>
      </c>
      <c r="G32" s="41">
        <v>0.0</v>
      </c>
      <c r="H32" s="41">
        <v>0.0</v>
      </c>
      <c r="I32" s="41">
        <v>0.0</v>
      </c>
      <c r="J32" s="41">
        <v>0.0</v>
      </c>
      <c r="K32" s="41">
        <v>0.0</v>
      </c>
      <c r="L32" s="41">
        <v>0.0</v>
      </c>
      <c r="M32" s="41">
        <v>0.0</v>
      </c>
      <c r="O32" s="2"/>
    </row>
    <row r="33" ht="12.0" customHeight="1">
      <c r="A33" s="43" t="s">
        <v>48</v>
      </c>
      <c r="B33" s="44">
        <v>0.0</v>
      </c>
      <c r="C33" s="44">
        <v>0.0</v>
      </c>
      <c r="D33" s="44">
        <v>0.0</v>
      </c>
      <c r="E33" s="44">
        <v>0.0</v>
      </c>
      <c r="F33" s="44">
        <v>0.0</v>
      </c>
      <c r="G33" s="44">
        <v>0.0</v>
      </c>
      <c r="H33" s="44">
        <v>0.0</v>
      </c>
      <c r="I33" s="44">
        <v>0.0</v>
      </c>
      <c r="J33" s="44">
        <v>0.0</v>
      </c>
      <c r="K33" s="44">
        <v>0.0</v>
      </c>
      <c r="L33" s="44">
        <v>0.0</v>
      </c>
      <c r="M33" s="44">
        <v>0.0</v>
      </c>
      <c r="O33" s="2"/>
    </row>
    <row r="34" ht="12.0" customHeight="1">
      <c r="A34" s="45" t="s">
        <v>66</v>
      </c>
      <c r="B34" s="46">
        <f t="shared" ref="B34:M34" si="7">SUM(B27:B33)</f>
        <v>0</v>
      </c>
      <c r="C34" s="46">
        <f t="shared" si="7"/>
        <v>0</v>
      </c>
      <c r="D34" s="46">
        <f t="shared" si="7"/>
        <v>0</v>
      </c>
      <c r="E34" s="46">
        <f t="shared" si="7"/>
        <v>0</v>
      </c>
      <c r="F34" s="46">
        <f t="shared" si="7"/>
        <v>0</v>
      </c>
      <c r="G34" s="46">
        <f t="shared" si="7"/>
        <v>0</v>
      </c>
      <c r="H34" s="46">
        <f t="shared" si="7"/>
        <v>0</v>
      </c>
      <c r="I34" s="46">
        <f t="shared" si="7"/>
        <v>0</v>
      </c>
      <c r="J34" s="46">
        <f t="shared" si="7"/>
        <v>0</v>
      </c>
      <c r="K34" s="46">
        <f t="shared" si="7"/>
        <v>0</v>
      </c>
      <c r="L34" s="46">
        <f t="shared" si="7"/>
        <v>0</v>
      </c>
      <c r="M34" s="46">
        <f t="shared" si="7"/>
        <v>0</v>
      </c>
      <c r="O34" s="2"/>
    </row>
    <row r="35" ht="12.0" customHeight="1">
      <c r="A35" s="50" t="s">
        <v>67</v>
      </c>
      <c r="B35" s="51" t="s">
        <v>45</v>
      </c>
      <c r="C35" s="51" t="s">
        <v>45</v>
      </c>
      <c r="D35" s="51" t="s">
        <v>45</v>
      </c>
      <c r="E35" s="51" t="s">
        <v>45</v>
      </c>
      <c r="F35" s="51" t="s">
        <v>45</v>
      </c>
      <c r="G35" s="51" t="s">
        <v>45</v>
      </c>
      <c r="H35" s="51" t="s">
        <v>45</v>
      </c>
      <c r="I35" s="51" t="s">
        <v>45</v>
      </c>
      <c r="J35" s="51" t="s">
        <v>45</v>
      </c>
      <c r="K35" s="51" t="s">
        <v>45</v>
      </c>
      <c r="L35" s="51" t="s">
        <v>45</v>
      </c>
      <c r="M35" s="51" t="s">
        <v>45</v>
      </c>
      <c r="O35" s="2"/>
    </row>
    <row r="36" ht="12.0" customHeight="1">
      <c r="A36" s="40" t="s">
        <v>19</v>
      </c>
      <c r="B36" s="41">
        <v>0.0</v>
      </c>
      <c r="C36" s="41">
        <v>0.0</v>
      </c>
      <c r="D36" s="41">
        <v>0.0</v>
      </c>
      <c r="E36" s="41">
        <v>0.0</v>
      </c>
      <c r="F36" s="41">
        <v>0.0</v>
      </c>
      <c r="G36" s="41">
        <v>0.0</v>
      </c>
      <c r="H36" s="41">
        <v>0.0</v>
      </c>
      <c r="I36" s="41">
        <v>0.0</v>
      </c>
      <c r="J36" s="41">
        <v>0.0</v>
      </c>
      <c r="K36" s="41">
        <v>0.0</v>
      </c>
      <c r="L36" s="41">
        <v>0.0</v>
      </c>
      <c r="M36" s="41">
        <v>0.0</v>
      </c>
      <c r="O36" s="2"/>
    </row>
    <row r="37" ht="12.0" customHeight="1">
      <c r="A37" s="40" t="s">
        <v>68</v>
      </c>
      <c r="B37" s="44">
        <v>0.0</v>
      </c>
      <c r="C37" s="44">
        <v>0.0</v>
      </c>
      <c r="D37" s="44">
        <v>0.0</v>
      </c>
      <c r="E37" s="44">
        <v>0.0</v>
      </c>
      <c r="F37" s="44">
        <v>0.0</v>
      </c>
      <c r="G37" s="44">
        <v>0.0</v>
      </c>
      <c r="H37" s="44">
        <v>0.0</v>
      </c>
      <c r="I37" s="44">
        <v>0.0</v>
      </c>
      <c r="J37" s="44">
        <v>0.0</v>
      </c>
      <c r="K37" s="44">
        <v>0.0</v>
      </c>
      <c r="L37" s="44">
        <v>0.0</v>
      </c>
      <c r="M37" s="44">
        <v>0.0</v>
      </c>
      <c r="O37" s="2"/>
    </row>
    <row r="38" ht="12.0" customHeight="1">
      <c r="A38" s="40" t="s">
        <v>69</v>
      </c>
      <c r="B38" s="41">
        <v>0.0</v>
      </c>
      <c r="C38" s="41">
        <v>0.0</v>
      </c>
      <c r="D38" s="41">
        <v>0.0</v>
      </c>
      <c r="E38" s="41">
        <v>0.0</v>
      </c>
      <c r="F38" s="41">
        <v>0.0</v>
      </c>
      <c r="G38" s="41">
        <v>0.0</v>
      </c>
      <c r="H38" s="41">
        <v>0.0</v>
      </c>
      <c r="I38" s="41">
        <v>0.0</v>
      </c>
      <c r="J38" s="41">
        <v>0.0</v>
      </c>
      <c r="K38" s="41">
        <v>0.0</v>
      </c>
      <c r="L38" s="41">
        <v>0.0</v>
      </c>
      <c r="M38" s="41">
        <v>0.0</v>
      </c>
      <c r="O38" s="2"/>
    </row>
    <row r="39" ht="12.0" customHeight="1">
      <c r="A39" s="43" t="s">
        <v>48</v>
      </c>
      <c r="B39" s="44">
        <v>0.0</v>
      </c>
      <c r="C39" s="44">
        <v>0.0</v>
      </c>
      <c r="D39" s="44">
        <v>0.0</v>
      </c>
      <c r="E39" s="44">
        <v>0.0</v>
      </c>
      <c r="F39" s="44">
        <v>0.0</v>
      </c>
      <c r="G39" s="44">
        <v>0.0</v>
      </c>
      <c r="H39" s="44">
        <v>0.0</v>
      </c>
      <c r="I39" s="44">
        <v>0.0</v>
      </c>
      <c r="J39" s="44">
        <v>0.0</v>
      </c>
      <c r="K39" s="44">
        <v>0.0</v>
      </c>
      <c r="L39" s="44">
        <v>0.0</v>
      </c>
      <c r="M39" s="44">
        <v>0.0</v>
      </c>
      <c r="O39" s="2"/>
    </row>
    <row r="40" ht="12.0" customHeight="1">
      <c r="A40" s="45" t="s">
        <v>70</v>
      </c>
      <c r="B40" s="46">
        <f t="shared" ref="B40:M40" si="8">SUM(B36:B39)</f>
        <v>0</v>
      </c>
      <c r="C40" s="46">
        <f t="shared" si="8"/>
        <v>0</v>
      </c>
      <c r="D40" s="46">
        <f t="shared" si="8"/>
        <v>0</v>
      </c>
      <c r="E40" s="46">
        <f t="shared" si="8"/>
        <v>0</v>
      </c>
      <c r="F40" s="46">
        <f t="shared" si="8"/>
        <v>0</v>
      </c>
      <c r="G40" s="46">
        <f t="shared" si="8"/>
        <v>0</v>
      </c>
      <c r="H40" s="46">
        <f t="shared" si="8"/>
        <v>0</v>
      </c>
      <c r="I40" s="46">
        <f t="shared" si="8"/>
        <v>0</v>
      </c>
      <c r="J40" s="46">
        <f t="shared" si="8"/>
        <v>0</v>
      </c>
      <c r="K40" s="46">
        <f t="shared" si="8"/>
        <v>0</v>
      </c>
      <c r="L40" s="46">
        <f t="shared" si="8"/>
        <v>0</v>
      </c>
      <c r="M40" s="47">
        <f t="shared" si="8"/>
        <v>0</v>
      </c>
      <c r="O40" s="2"/>
    </row>
    <row r="41" ht="12.0" customHeight="1">
      <c r="A41" s="50" t="s">
        <v>71</v>
      </c>
      <c r="B41" s="51" t="s">
        <v>45</v>
      </c>
      <c r="C41" s="51" t="s">
        <v>45</v>
      </c>
      <c r="D41" s="51" t="s">
        <v>45</v>
      </c>
      <c r="E41" s="51" t="s">
        <v>45</v>
      </c>
      <c r="F41" s="51" t="s">
        <v>45</v>
      </c>
      <c r="G41" s="51" t="s">
        <v>45</v>
      </c>
      <c r="H41" s="51" t="s">
        <v>45</v>
      </c>
      <c r="I41" s="51" t="s">
        <v>45</v>
      </c>
      <c r="J41" s="51" t="s">
        <v>45</v>
      </c>
      <c r="K41" s="51" t="s">
        <v>45</v>
      </c>
      <c r="L41" s="51" t="s">
        <v>45</v>
      </c>
      <c r="M41" s="51" t="s">
        <v>45</v>
      </c>
      <c r="O41" s="2"/>
    </row>
    <row r="42" ht="12.0" customHeight="1">
      <c r="A42" s="40" t="s">
        <v>72</v>
      </c>
      <c r="B42" s="41">
        <v>0.0</v>
      </c>
      <c r="C42" s="41">
        <v>0.0</v>
      </c>
      <c r="D42" s="41">
        <v>0.0</v>
      </c>
      <c r="E42" s="41">
        <v>0.0</v>
      </c>
      <c r="F42" s="41">
        <v>0.0</v>
      </c>
      <c r="G42" s="41">
        <v>0.0</v>
      </c>
      <c r="H42" s="41">
        <v>0.0</v>
      </c>
      <c r="I42" s="41">
        <v>0.0</v>
      </c>
      <c r="J42" s="41">
        <v>0.0</v>
      </c>
      <c r="K42" s="41">
        <v>0.0</v>
      </c>
      <c r="L42" s="41">
        <v>0.0</v>
      </c>
      <c r="M42" s="41">
        <v>0.0</v>
      </c>
      <c r="O42" s="2"/>
    </row>
    <row r="43" ht="12.0" customHeight="1">
      <c r="A43" s="40" t="s">
        <v>73</v>
      </c>
      <c r="B43" s="44">
        <v>0.0</v>
      </c>
      <c r="C43" s="44">
        <v>0.0</v>
      </c>
      <c r="D43" s="44">
        <v>0.0</v>
      </c>
      <c r="E43" s="44">
        <v>0.0</v>
      </c>
      <c r="F43" s="44">
        <v>0.0</v>
      </c>
      <c r="G43" s="44">
        <v>0.0</v>
      </c>
      <c r="H43" s="44">
        <v>0.0</v>
      </c>
      <c r="I43" s="44">
        <v>0.0</v>
      </c>
      <c r="J43" s="44">
        <v>0.0</v>
      </c>
      <c r="K43" s="44">
        <v>0.0</v>
      </c>
      <c r="L43" s="44">
        <v>0.0</v>
      </c>
      <c r="M43" s="44">
        <v>0.0</v>
      </c>
      <c r="O43" s="2"/>
    </row>
    <row r="44" ht="12.0" customHeight="1">
      <c r="A44" s="40" t="s">
        <v>74</v>
      </c>
      <c r="B44" s="41">
        <v>0.0</v>
      </c>
      <c r="C44" s="41">
        <v>0.0</v>
      </c>
      <c r="D44" s="41">
        <v>0.0</v>
      </c>
      <c r="E44" s="41">
        <v>0.0</v>
      </c>
      <c r="F44" s="41">
        <v>0.0</v>
      </c>
      <c r="G44" s="41">
        <v>0.0</v>
      </c>
      <c r="H44" s="41">
        <v>0.0</v>
      </c>
      <c r="I44" s="41">
        <v>0.0</v>
      </c>
      <c r="J44" s="41">
        <v>0.0</v>
      </c>
      <c r="K44" s="41">
        <v>0.0</v>
      </c>
      <c r="L44" s="41">
        <v>0.0</v>
      </c>
      <c r="M44" s="41">
        <v>0.0</v>
      </c>
      <c r="O44" s="2"/>
    </row>
    <row r="45" ht="12.0" customHeight="1">
      <c r="A45" s="40" t="s">
        <v>75</v>
      </c>
      <c r="B45" s="41">
        <v>0.0</v>
      </c>
      <c r="C45" s="41">
        <v>0.0</v>
      </c>
      <c r="D45" s="41">
        <v>0.0</v>
      </c>
      <c r="E45" s="41">
        <v>0.0</v>
      </c>
      <c r="F45" s="41">
        <v>0.0</v>
      </c>
      <c r="G45" s="41">
        <v>0.0</v>
      </c>
      <c r="H45" s="41">
        <v>0.0</v>
      </c>
      <c r="I45" s="41">
        <v>0.0</v>
      </c>
      <c r="J45" s="41">
        <v>0.0</v>
      </c>
      <c r="K45" s="41">
        <v>0.0</v>
      </c>
      <c r="L45" s="41">
        <v>0.0</v>
      </c>
      <c r="M45" s="41">
        <v>0.0</v>
      </c>
      <c r="O45" s="2"/>
    </row>
    <row r="46" ht="12.0" customHeight="1">
      <c r="A46" s="40" t="s">
        <v>76</v>
      </c>
      <c r="B46" s="44">
        <v>0.0</v>
      </c>
      <c r="C46" s="44">
        <v>0.0</v>
      </c>
      <c r="D46" s="44">
        <v>0.0</v>
      </c>
      <c r="E46" s="44">
        <v>0.0</v>
      </c>
      <c r="F46" s="44">
        <v>0.0</v>
      </c>
      <c r="G46" s="44">
        <v>0.0</v>
      </c>
      <c r="H46" s="44">
        <v>0.0</v>
      </c>
      <c r="I46" s="44">
        <v>0.0</v>
      </c>
      <c r="J46" s="44">
        <v>0.0</v>
      </c>
      <c r="K46" s="44">
        <v>0.0</v>
      </c>
      <c r="L46" s="44">
        <v>0.0</v>
      </c>
      <c r="M46" s="44">
        <v>0.0</v>
      </c>
      <c r="O46" s="2"/>
    </row>
    <row r="47" ht="12.0" customHeight="1">
      <c r="A47" s="40" t="s">
        <v>77</v>
      </c>
      <c r="B47" s="41">
        <v>0.0</v>
      </c>
      <c r="C47" s="41">
        <v>0.0</v>
      </c>
      <c r="D47" s="41">
        <v>0.0</v>
      </c>
      <c r="E47" s="41">
        <v>0.0</v>
      </c>
      <c r="F47" s="41">
        <v>0.0</v>
      </c>
      <c r="G47" s="41">
        <v>0.0</v>
      </c>
      <c r="H47" s="41">
        <v>0.0</v>
      </c>
      <c r="I47" s="41">
        <v>0.0</v>
      </c>
      <c r="J47" s="41">
        <v>0.0</v>
      </c>
      <c r="K47" s="41">
        <v>0.0</v>
      </c>
      <c r="L47" s="41">
        <v>0.0</v>
      </c>
      <c r="M47" s="41">
        <v>0.0</v>
      </c>
      <c r="O47" s="2"/>
    </row>
    <row r="48" ht="12.0" customHeight="1">
      <c r="A48" s="40" t="s">
        <v>78</v>
      </c>
      <c r="B48" s="44">
        <v>0.0</v>
      </c>
      <c r="C48" s="44">
        <v>0.0</v>
      </c>
      <c r="D48" s="44">
        <v>0.0</v>
      </c>
      <c r="E48" s="44">
        <v>0.0</v>
      </c>
      <c r="F48" s="44">
        <v>0.0</v>
      </c>
      <c r="G48" s="44">
        <v>0.0</v>
      </c>
      <c r="H48" s="44">
        <v>0.0</v>
      </c>
      <c r="I48" s="44">
        <v>0.0</v>
      </c>
      <c r="J48" s="44">
        <v>0.0</v>
      </c>
      <c r="K48" s="44">
        <v>0.0</v>
      </c>
      <c r="L48" s="44">
        <v>0.0</v>
      </c>
      <c r="M48" s="44">
        <v>0.0</v>
      </c>
      <c r="O48" s="2"/>
    </row>
    <row r="49" ht="12.0" customHeight="1">
      <c r="A49" s="40" t="s">
        <v>79</v>
      </c>
      <c r="B49" s="41">
        <v>0.0</v>
      </c>
      <c r="C49" s="41">
        <v>0.0</v>
      </c>
      <c r="D49" s="41">
        <v>0.0</v>
      </c>
      <c r="E49" s="41">
        <v>0.0</v>
      </c>
      <c r="F49" s="41">
        <v>0.0</v>
      </c>
      <c r="G49" s="41">
        <v>0.0</v>
      </c>
      <c r="H49" s="41">
        <v>0.0</v>
      </c>
      <c r="I49" s="41">
        <v>0.0</v>
      </c>
      <c r="J49" s="41">
        <v>0.0</v>
      </c>
      <c r="K49" s="41">
        <v>0.0</v>
      </c>
      <c r="L49" s="41">
        <v>0.0</v>
      </c>
      <c r="M49" s="41">
        <v>0.0</v>
      </c>
      <c r="O49" s="2"/>
    </row>
    <row r="50" ht="12.0" customHeight="1">
      <c r="A50" s="43" t="s">
        <v>48</v>
      </c>
      <c r="B50" s="44">
        <v>0.0</v>
      </c>
      <c r="C50" s="44">
        <v>0.0</v>
      </c>
      <c r="D50" s="44">
        <v>0.0</v>
      </c>
      <c r="E50" s="44">
        <v>0.0</v>
      </c>
      <c r="F50" s="44">
        <v>0.0</v>
      </c>
      <c r="G50" s="44">
        <v>0.0</v>
      </c>
      <c r="H50" s="44">
        <v>0.0</v>
      </c>
      <c r="I50" s="44">
        <v>0.0</v>
      </c>
      <c r="J50" s="44">
        <v>0.0</v>
      </c>
      <c r="K50" s="44">
        <v>0.0</v>
      </c>
      <c r="L50" s="44">
        <v>0.0</v>
      </c>
      <c r="M50" s="44">
        <v>0.0</v>
      </c>
      <c r="O50" s="2"/>
    </row>
    <row r="51" ht="12.0" customHeight="1">
      <c r="A51" s="45" t="s">
        <v>80</v>
      </c>
      <c r="B51" s="46">
        <f t="shared" ref="B51:M51" si="9">SUM(B42:B50)</f>
        <v>0</v>
      </c>
      <c r="C51" s="46">
        <f t="shared" si="9"/>
        <v>0</v>
      </c>
      <c r="D51" s="46">
        <f t="shared" si="9"/>
        <v>0</v>
      </c>
      <c r="E51" s="46">
        <f t="shared" si="9"/>
        <v>0</v>
      </c>
      <c r="F51" s="46">
        <f t="shared" si="9"/>
        <v>0</v>
      </c>
      <c r="G51" s="46">
        <f t="shared" si="9"/>
        <v>0</v>
      </c>
      <c r="H51" s="46">
        <f t="shared" si="9"/>
        <v>0</v>
      </c>
      <c r="I51" s="46">
        <f t="shared" si="9"/>
        <v>0</v>
      </c>
      <c r="J51" s="46">
        <f t="shared" si="9"/>
        <v>0</v>
      </c>
      <c r="K51" s="46">
        <f t="shared" si="9"/>
        <v>0</v>
      </c>
      <c r="L51" s="46">
        <f t="shared" si="9"/>
        <v>0</v>
      </c>
      <c r="M51" s="46">
        <f t="shared" si="9"/>
        <v>0</v>
      </c>
      <c r="O51" s="2"/>
    </row>
    <row r="52" ht="12.0" customHeight="1">
      <c r="A52" s="50" t="s">
        <v>81</v>
      </c>
      <c r="B52" s="51" t="s">
        <v>45</v>
      </c>
      <c r="C52" s="51" t="s">
        <v>45</v>
      </c>
      <c r="D52" s="51" t="s">
        <v>45</v>
      </c>
      <c r="E52" s="51" t="s">
        <v>45</v>
      </c>
      <c r="F52" s="51" t="s">
        <v>45</v>
      </c>
      <c r="G52" s="51" t="s">
        <v>45</v>
      </c>
      <c r="H52" s="51" t="s">
        <v>45</v>
      </c>
      <c r="I52" s="51" t="s">
        <v>45</v>
      </c>
      <c r="J52" s="51" t="s">
        <v>45</v>
      </c>
      <c r="K52" s="51" t="s">
        <v>45</v>
      </c>
      <c r="L52" s="51" t="s">
        <v>45</v>
      </c>
      <c r="M52" s="51" t="s">
        <v>45</v>
      </c>
      <c r="O52" s="2"/>
    </row>
    <row r="53" ht="12.0" customHeight="1">
      <c r="A53" s="40" t="s">
        <v>82</v>
      </c>
      <c r="B53" s="41">
        <v>0.0</v>
      </c>
      <c r="C53" s="41">
        <v>0.0</v>
      </c>
      <c r="D53" s="41">
        <v>0.0</v>
      </c>
      <c r="E53" s="41">
        <v>0.0</v>
      </c>
      <c r="F53" s="41">
        <v>0.0</v>
      </c>
      <c r="G53" s="41">
        <v>0.0</v>
      </c>
      <c r="H53" s="41">
        <v>0.0</v>
      </c>
      <c r="I53" s="41">
        <v>0.0</v>
      </c>
      <c r="J53" s="41">
        <v>0.0</v>
      </c>
      <c r="K53" s="41">
        <v>0.0</v>
      </c>
      <c r="L53" s="41">
        <v>0.0</v>
      </c>
      <c r="M53" s="41">
        <v>0.0</v>
      </c>
      <c r="O53" s="2"/>
    </row>
    <row r="54" ht="12.0" customHeight="1">
      <c r="A54" s="40" t="s">
        <v>83</v>
      </c>
      <c r="B54" s="44">
        <v>0.0</v>
      </c>
      <c r="C54" s="44">
        <v>0.0</v>
      </c>
      <c r="D54" s="44">
        <v>0.0</v>
      </c>
      <c r="E54" s="44">
        <v>0.0</v>
      </c>
      <c r="F54" s="44">
        <v>0.0</v>
      </c>
      <c r="G54" s="44">
        <v>0.0</v>
      </c>
      <c r="H54" s="44">
        <v>0.0</v>
      </c>
      <c r="I54" s="44">
        <v>0.0</v>
      </c>
      <c r="J54" s="44">
        <v>0.0</v>
      </c>
      <c r="K54" s="44">
        <v>0.0</v>
      </c>
      <c r="L54" s="44">
        <v>0.0</v>
      </c>
      <c r="M54" s="44">
        <v>0.0</v>
      </c>
      <c r="O54" s="2"/>
    </row>
    <row r="55" ht="12.0" customHeight="1">
      <c r="A55" s="40" t="s">
        <v>84</v>
      </c>
      <c r="B55" s="41">
        <v>0.0</v>
      </c>
      <c r="C55" s="41">
        <v>0.0</v>
      </c>
      <c r="D55" s="41">
        <v>0.0</v>
      </c>
      <c r="E55" s="41">
        <v>0.0</v>
      </c>
      <c r="F55" s="41">
        <v>0.0</v>
      </c>
      <c r="G55" s="41">
        <v>0.0</v>
      </c>
      <c r="H55" s="41">
        <v>0.0</v>
      </c>
      <c r="I55" s="41">
        <v>0.0</v>
      </c>
      <c r="J55" s="41">
        <v>0.0</v>
      </c>
      <c r="K55" s="41">
        <v>0.0</v>
      </c>
      <c r="L55" s="41">
        <v>0.0</v>
      </c>
      <c r="M55" s="41">
        <v>0.0</v>
      </c>
      <c r="O55" s="2"/>
    </row>
    <row r="56" ht="12.0" customHeight="1">
      <c r="A56" s="40" t="s">
        <v>21</v>
      </c>
      <c r="B56" s="41">
        <v>0.0</v>
      </c>
      <c r="C56" s="41">
        <v>0.0</v>
      </c>
      <c r="D56" s="41">
        <v>0.0</v>
      </c>
      <c r="E56" s="41">
        <v>0.0</v>
      </c>
      <c r="F56" s="41">
        <v>0.0</v>
      </c>
      <c r="G56" s="41">
        <v>0.0</v>
      </c>
      <c r="H56" s="41">
        <v>0.0</v>
      </c>
      <c r="I56" s="41">
        <v>0.0</v>
      </c>
      <c r="J56" s="41">
        <v>0.0</v>
      </c>
      <c r="K56" s="41">
        <v>0.0</v>
      </c>
      <c r="L56" s="41">
        <v>0.0</v>
      </c>
      <c r="M56" s="41">
        <v>0.0</v>
      </c>
      <c r="O56" s="2"/>
    </row>
    <row r="57" ht="12.0" customHeight="1">
      <c r="A57" s="40" t="s">
        <v>85</v>
      </c>
      <c r="B57" s="44">
        <v>0.0</v>
      </c>
      <c r="C57" s="44">
        <v>0.0</v>
      </c>
      <c r="D57" s="44">
        <v>0.0</v>
      </c>
      <c r="E57" s="44">
        <v>0.0</v>
      </c>
      <c r="F57" s="44">
        <v>0.0</v>
      </c>
      <c r="G57" s="44">
        <v>0.0</v>
      </c>
      <c r="H57" s="44">
        <v>0.0</v>
      </c>
      <c r="I57" s="44">
        <v>0.0</v>
      </c>
      <c r="J57" s="44">
        <v>0.0</v>
      </c>
      <c r="K57" s="44">
        <v>0.0</v>
      </c>
      <c r="L57" s="44">
        <v>0.0</v>
      </c>
      <c r="M57" s="44">
        <v>0.0</v>
      </c>
      <c r="O57" s="2"/>
    </row>
    <row r="58" ht="12.0" customHeight="1">
      <c r="A58" s="45" t="s">
        <v>86</v>
      </c>
      <c r="B58" s="61">
        <f t="shared" ref="B58:M58" si="10">SUM(B53:B57)</f>
        <v>0</v>
      </c>
      <c r="C58" s="61">
        <f t="shared" si="10"/>
        <v>0</v>
      </c>
      <c r="D58" s="61">
        <f t="shared" si="10"/>
        <v>0</v>
      </c>
      <c r="E58" s="61">
        <f t="shared" si="10"/>
        <v>0</v>
      </c>
      <c r="F58" s="61">
        <f t="shared" si="10"/>
        <v>0</v>
      </c>
      <c r="G58" s="61">
        <f t="shared" si="10"/>
        <v>0</v>
      </c>
      <c r="H58" s="61">
        <f t="shared" si="10"/>
        <v>0</v>
      </c>
      <c r="I58" s="61">
        <f t="shared" si="10"/>
        <v>0</v>
      </c>
      <c r="J58" s="61">
        <f t="shared" si="10"/>
        <v>0</v>
      </c>
      <c r="K58" s="61">
        <f t="shared" si="10"/>
        <v>0</v>
      </c>
      <c r="L58" s="61">
        <f t="shared" si="10"/>
        <v>0</v>
      </c>
      <c r="M58" s="61">
        <f t="shared" si="10"/>
        <v>0</v>
      </c>
      <c r="O58" s="2"/>
    </row>
    <row r="59" ht="12.0" customHeight="1">
      <c r="A59" s="50" t="s">
        <v>87</v>
      </c>
      <c r="B59" s="51" t="s">
        <v>45</v>
      </c>
      <c r="C59" s="51" t="s">
        <v>45</v>
      </c>
      <c r="D59" s="51" t="s">
        <v>45</v>
      </c>
      <c r="E59" s="51" t="s">
        <v>45</v>
      </c>
      <c r="F59" s="51" t="s">
        <v>45</v>
      </c>
      <c r="G59" s="51" t="s">
        <v>45</v>
      </c>
      <c r="H59" s="51" t="s">
        <v>45</v>
      </c>
      <c r="I59" s="51" t="s">
        <v>45</v>
      </c>
      <c r="J59" s="51" t="s">
        <v>45</v>
      </c>
      <c r="K59" s="51" t="s">
        <v>45</v>
      </c>
      <c r="L59" s="51" t="s">
        <v>45</v>
      </c>
      <c r="M59" s="51" t="s">
        <v>45</v>
      </c>
      <c r="O59" s="2"/>
    </row>
    <row r="60" ht="12.0" customHeight="1">
      <c r="A60" s="40" t="s">
        <v>88</v>
      </c>
      <c r="B60" s="41">
        <v>0.0</v>
      </c>
      <c r="C60" s="41">
        <v>0.0</v>
      </c>
      <c r="D60" s="41">
        <v>0.0</v>
      </c>
      <c r="E60" s="41">
        <v>0.0</v>
      </c>
      <c r="F60" s="41">
        <v>0.0</v>
      </c>
      <c r="G60" s="41">
        <v>0.0</v>
      </c>
      <c r="H60" s="41">
        <v>0.0</v>
      </c>
      <c r="I60" s="41">
        <v>0.0</v>
      </c>
      <c r="J60" s="41">
        <v>0.0</v>
      </c>
      <c r="K60" s="41">
        <v>0.0</v>
      </c>
      <c r="L60" s="41">
        <v>0.0</v>
      </c>
      <c r="M60" s="41">
        <v>0.0</v>
      </c>
      <c r="O60" s="2"/>
    </row>
    <row r="61" ht="12.0" customHeight="1">
      <c r="A61" s="40" t="s">
        <v>89</v>
      </c>
      <c r="B61" s="44">
        <v>0.0</v>
      </c>
      <c r="C61" s="44">
        <v>0.0</v>
      </c>
      <c r="D61" s="44">
        <v>0.0</v>
      </c>
      <c r="E61" s="44">
        <v>0.0</v>
      </c>
      <c r="F61" s="44">
        <v>0.0</v>
      </c>
      <c r="G61" s="44">
        <v>0.0</v>
      </c>
      <c r="H61" s="44">
        <v>0.0</v>
      </c>
      <c r="I61" s="44">
        <v>0.0</v>
      </c>
      <c r="J61" s="44">
        <v>0.0</v>
      </c>
      <c r="K61" s="44">
        <v>0.0</v>
      </c>
      <c r="L61" s="44">
        <v>0.0</v>
      </c>
      <c r="M61" s="44">
        <v>0.0</v>
      </c>
      <c r="O61" s="2"/>
    </row>
    <row r="62" ht="12.0" customHeight="1">
      <c r="A62" s="43" t="s">
        <v>90</v>
      </c>
      <c r="B62" s="41">
        <v>0.0</v>
      </c>
      <c r="C62" s="41">
        <v>0.0</v>
      </c>
      <c r="D62" s="41">
        <v>0.0</v>
      </c>
      <c r="E62" s="41">
        <v>0.0</v>
      </c>
      <c r="F62" s="41">
        <v>0.0</v>
      </c>
      <c r="G62" s="41">
        <v>0.0</v>
      </c>
      <c r="H62" s="41">
        <v>0.0</v>
      </c>
      <c r="I62" s="41">
        <v>0.0</v>
      </c>
      <c r="J62" s="41">
        <v>0.0</v>
      </c>
      <c r="K62" s="41">
        <v>0.0</v>
      </c>
      <c r="L62" s="41">
        <v>0.0</v>
      </c>
      <c r="M62" s="41">
        <v>0.0</v>
      </c>
      <c r="O62" s="2"/>
    </row>
    <row r="63" ht="12.0" customHeight="1">
      <c r="A63" s="45" t="s">
        <v>91</v>
      </c>
      <c r="B63" s="61">
        <f t="shared" ref="B63:M63" si="11">SUM(B60:B62)</f>
        <v>0</v>
      </c>
      <c r="C63" s="61">
        <f t="shared" si="11"/>
        <v>0</v>
      </c>
      <c r="D63" s="61">
        <f t="shared" si="11"/>
        <v>0</v>
      </c>
      <c r="E63" s="61">
        <f t="shared" si="11"/>
        <v>0</v>
      </c>
      <c r="F63" s="61">
        <f t="shared" si="11"/>
        <v>0</v>
      </c>
      <c r="G63" s="61">
        <f t="shared" si="11"/>
        <v>0</v>
      </c>
      <c r="H63" s="61">
        <f t="shared" si="11"/>
        <v>0</v>
      </c>
      <c r="I63" s="61">
        <f t="shared" si="11"/>
        <v>0</v>
      </c>
      <c r="J63" s="61">
        <f t="shared" si="11"/>
        <v>0</v>
      </c>
      <c r="K63" s="61">
        <f t="shared" si="11"/>
        <v>0</v>
      </c>
      <c r="L63" s="61">
        <f t="shared" si="11"/>
        <v>0</v>
      </c>
      <c r="M63" s="61">
        <f t="shared" si="11"/>
        <v>0</v>
      </c>
      <c r="O63" s="2"/>
    </row>
    <row r="64" ht="12.0" customHeight="1">
      <c r="A64" s="50" t="s">
        <v>92</v>
      </c>
      <c r="B64" s="51" t="s">
        <v>45</v>
      </c>
      <c r="C64" s="51" t="s">
        <v>45</v>
      </c>
      <c r="D64" s="51" t="s">
        <v>45</v>
      </c>
      <c r="E64" s="51" t="s">
        <v>45</v>
      </c>
      <c r="F64" s="51" t="s">
        <v>45</v>
      </c>
      <c r="G64" s="51" t="s">
        <v>45</v>
      </c>
      <c r="H64" s="51" t="s">
        <v>45</v>
      </c>
      <c r="I64" s="51" t="s">
        <v>45</v>
      </c>
      <c r="J64" s="51" t="s">
        <v>45</v>
      </c>
      <c r="K64" s="51" t="s">
        <v>45</v>
      </c>
      <c r="L64" s="51" t="s">
        <v>45</v>
      </c>
      <c r="M64" s="51" t="s">
        <v>45</v>
      </c>
      <c r="O64" s="2"/>
    </row>
    <row r="65" ht="12.0" customHeight="1">
      <c r="A65" s="50" t="s">
        <v>93</v>
      </c>
      <c r="B65" s="41">
        <v>0.0</v>
      </c>
      <c r="C65" s="41">
        <v>0.0</v>
      </c>
      <c r="D65" s="41">
        <v>0.0</v>
      </c>
      <c r="E65" s="41">
        <v>0.0</v>
      </c>
      <c r="F65" s="41">
        <v>0.0</v>
      </c>
      <c r="G65" s="41">
        <v>0.0</v>
      </c>
      <c r="H65" s="41">
        <v>0.0</v>
      </c>
      <c r="I65" s="41">
        <v>0.0</v>
      </c>
      <c r="J65" s="41">
        <v>0.0</v>
      </c>
      <c r="K65" s="41">
        <v>0.0</v>
      </c>
      <c r="L65" s="41">
        <v>0.0</v>
      </c>
      <c r="M65" s="41">
        <v>0.0</v>
      </c>
      <c r="O65" s="2"/>
    </row>
    <row r="66" ht="12.0" customHeight="1">
      <c r="A66" s="43" t="s">
        <v>94</v>
      </c>
      <c r="B66" s="44">
        <v>0.0</v>
      </c>
      <c r="C66" s="44">
        <v>0.0</v>
      </c>
      <c r="D66" s="44">
        <v>0.0</v>
      </c>
      <c r="E66" s="44">
        <v>0.0</v>
      </c>
      <c r="F66" s="44">
        <v>0.0</v>
      </c>
      <c r="G66" s="44">
        <v>0.0</v>
      </c>
      <c r="H66" s="44">
        <v>0.0</v>
      </c>
      <c r="I66" s="44">
        <v>0.0</v>
      </c>
      <c r="J66" s="44">
        <v>0.0</v>
      </c>
      <c r="K66" s="44">
        <v>0.0</v>
      </c>
      <c r="L66" s="44">
        <v>0.0</v>
      </c>
      <c r="M66" s="44">
        <v>0.0</v>
      </c>
      <c r="O66" s="2"/>
    </row>
    <row r="67" ht="12.0" customHeight="1">
      <c r="A67" s="43" t="s">
        <v>95</v>
      </c>
      <c r="B67" s="41">
        <v>0.0</v>
      </c>
      <c r="C67" s="41">
        <v>0.0</v>
      </c>
      <c r="D67" s="41">
        <v>0.0</v>
      </c>
      <c r="E67" s="41">
        <v>0.0</v>
      </c>
      <c r="F67" s="41">
        <v>0.0</v>
      </c>
      <c r="G67" s="41">
        <v>0.0</v>
      </c>
      <c r="H67" s="41">
        <v>0.0</v>
      </c>
      <c r="I67" s="41">
        <v>0.0</v>
      </c>
      <c r="J67" s="41">
        <v>0.0</v>
      </c>
      <c r="K67" s="41">
        <v>0.0</v>
      </c>
      <c r="L67" s="41">
        <v>0.0</v>
      </c>
      <c r="M67" s="41">
        <v>0.0</v>
      </c>
      <c r="O67" s="2"/>
    </row>
    <row r="68" ht="12.0" customHeight="1">
      <c r="A68" s="43" t="s">
        <v>96</v>
      </c>
      <c r="B68" s="41">
        <v>0.0</v>
      </c>
      <c r="C68" s="41">
        <v>0.0</v>
      </c>
      <c r="D68" s="41">
        <v>0.0</v>
      </c>
      <c r="E68" s="41">
        <v>0.0</v>
      </c>
      <c r="F68" s="41">
        <v>0.0</v>
      </c>
      <c r="G68" s="41">
        <v>0.0</v>
      </c>
      <c r="H68" s="41">
        <v>0.0</v>
      </c>
      <c r="I68" s="41">
        <v>0.0</v>
      </c>
      <c r="J68" s="41">
        <v>0.0</v>
      </c>
      <c r="K68" s="41">
        <v>0.0</v>
      </c>
      <c r="L68" s="41">
        <v>0.0</v>
      </c>
      <c r="M68" s="41">
        <v>0.0</v>
      </c>
      <c r="O68" s="2"/>
    </row>
    <row r="69" ht="12.0" customHeight="1">
      <c r="A69" s="43" t="s">
        <v>97</v>
      </c>
      <c r="B69" s="44">
        <v>0.0</v>
      </c>
      <c r="C69" s="44">
        <v>0.0</v>
      </c>
      <c r="D69" s="44">
        <v>0.0</v>
      </c>
      <c r="E69" s="44">
        <v>0.0</v>
      </c>
      <c r="F69" s="44">
        <v>0.0</v>
      </c>
      <c r="G69" s="44">
        <v>0.0</v>
      </c>
      <c r="H69" s="44">
        <v>0.0</v>
      </c>
      <c r="I69" s="44">
        <v>0.0</v>
      </c>
      <c r="J69" s="44">
        <v>0.0</v>
      </c>
      <c r="K69" s="44">
        <v>0.0</v>
      </c>
      <c r="L69" s="44">
        <v>0.0</v>
      </c>
      <c r="M69" s="44">
        <v>0.0</v>
      </c>
      <c r="O69" s="2"/>
    </row>
    <row r="70" ht="12.0" customHeight="1">
      <c r="A70" s="43" t="s">
        <v>98</v>
      </c>
      <c r="B70" s="41">
        <v>0.0</v>
      </c>
      <c r="C70" s="41">
        <v>0.0</v>
      </c>
      <c r="D70" s="41">
        <v>0.0</v>
      </c>
      <c r="E70" s="41">
        <v>0.0</v>
      </c>
      <c r="F70" s="41">
        <v>0.0</v>
      </c>
      <c r="G70" s="41">
        <v>0.0</v>
      </c>
      <c r="H70" s="41">
        <v>0.0</v>
      </c>
      <c r="I70" s="41">
        <v>0.0</v>
      </c>
      <c r="J70" s="41">
        <v>0.0</v>
      </c>
      <c r="K70" s="41">
        <v>0.0</v>
      </c>
      <c r="L70" s="41">
        <v>0.0</v>
      </c>
      <c r="M70" s="41">
        <v>0.0</v>
      </c>
      <c r="O70" s="2"/>
    </row>
    <row r="71" ht="12.0" customHeight="1">
      <c r="A71" s="45" t="s">
        <v>99</v>
      </c>
      <c r="B71" s="61">
        <f t="shared" ref="B71:M71" si="12">SUM(B66:B70)</f>
        <v>0</v>
      </c>
      <c r="C71" s="61">
        <f t="shared" si="12"/>
        <v>0</v>
      </c>
      <c r="D71" s="61">
        <f t="shared" si="12"/>
        <v>0</v>
      </c>
      <c r="E71" s="61">
        <f t="shared" si="12"/>
        <v>0</v>
      </c>
      <c r="F71" s="61">
        <f t="shared" si="12"/>
        <v>0</v>
      </c>
      <c r="G71" s="61">
        <f t="shared" si="12"/>
        <v>0</v>
      </c>
      <c r="H71" s="61">
        <f t="shared" si="12"/>
        <v>0</v>
      </c>
      <c r="I71" s="61">
        <f t="shared" si="12"/>
        <v>0</v>
      </c>
      <c r="J71" s="61">
        <f t="shared" si="12"/>
        <v>0</v>
      </c>
      <c r="K71" s="61">
        <f t="shared" si="12"/>
        <v>0</v>
      </c>
      <c r="L71" s="61">
        <f t="shared" si="12"/>
        <v>0</v>
      </c>
      <c r="M71" s="61">
        <f t="shared" si="12"/>
        <v>0</v>
      </c>
      <c r="O71" s="2"/>
    </row>
    <row r="72" ht="12.0" customHeight="1">
      <c r="A72" s="50" t="s">
        <v>100</v>
      </c>
      <c r="B72" s="62" t="s">
        <v>45</v>
      </c>
      <c r="C72" s="62" t="s">
        <v>45</v>
      </c>
      <c r="D72" s="62" t="s">
        <v>45</v>
      </c>
      <c r="E72" s="62" t="s">
        <v>45</v>
      </c>
      <c r="F72" s="62" t="s">
        <v>45</v>
      </c>
      <c r="G72" s="62" t="s">
        <v>45</v>
      </c>
      <c r="H72" s="62" t="s">
        <v>45</v>
      </c>
      <c r="I72" s="62" t="s">
        <v>45</v>
      </c>
      <c r="J72" s="62" t="s">
        <v>45</v>
      </c>
      <c r="K72" s="62" t="s">
        <v>45</v>
      </c>
      <c r="L72" s="62" t="s">
        <v>45</v>
      </c>
      <c r="M72" s="62" t="s">
        <v>45</v>
      </c>
      <c r="O72" s="2"/>
    </row>
    <row r="73" ht="12.0" customHeight="1">
      <c r="A73" s="43" t="s">
        <v>94</v>
      </c>
      <c r="B73" s="41">
        <v>0.0</v>
      </c>
      <c r="C73" s="41">
        <v>0.0</v>
      </c>
      <c r="D73" s="41">
        <v>0.0</v>
      </c>
      <c r="E73" s="41">
        <v>0.0</v>
      </c>
      <c r="F73" s="41">
        <v>0.0</v>
      </c>
      <c r="G73" s="41">
        <v>0.0</v>
      </c>
      <c r="H73" s="41">
        <v>0.0</v>
      </c>
      <c r="I73" s="41">
        <v>0.0</v>
      </c>
      <c r="J73" s="41">
        <v>0.0</v>
      </c>
      <c r="K73" s="41">
        <v>0.0</v>
      </c>
      <c r="L73" s="41">
        <v>0.0</v>
      </c>
      <c r="M73" s="41">
        <v>0.0</v>
      </c>
      <c r="O73" s="2"/>
    </row>
    <row r="74" ht="12.0" customHeight="1">
      <c r="A74" s="43" t="s">
        <v>95</v>
      </c>
      <c r="B74" s="44">
        <v>0.0</v>
      </c>
      <c r="C74" s="44">
        <v>0.0</v>
      </c>
      <c r="D74" s="44">
        <v>0.0</v>
      </c>
      <c r="E74" s="44">
        <v>0.0</v>
      </c>
      <c r="F74" s="44">
        <v>0.0</v>
      </c>
      <c r="G74" s="44">
        <v>0.0</v>
      </c>
      <c r="H74" s="44">
        <v>0.0</v>
      </c>
      <c r="I74" s="44">
        <v>0.0</v>
      </c>
      <c r="J74" s="44">
        <v>0.0</v>
      </c>
      <c r="K74" s="44">
        <v>0.0</v>
      </c>
      <c r="L74" s="44">
        <v>0.0</v>
      </c>
      <c r="M74" s="44">
        <v>0.0</v>
      </c>
      <c r="O74" s="2"/>
    </row>
    <row r="75" ht="12.0" customHeight="1">
      <c r="A75" s="43" t="s">
        <v>96</v>
      </c>
      <c r="B75" s="41">
        <v>0.0</v>
      </c>
      <c r="C75" s="41">
        <v>0.0</v>
      </c>
      <c r="D75" s="41">
        <v>0.0</v>
      </c>
      <c r="E75" s="41">
        <v>0.0</v>
      </c>
      <c r="F75" s="41">
        <v>0.0</v>
      </c>
      <c r="G75" s="41">
        <v>0.0</v>
      </c>
      <c r="H75" s="41">
        <v>0.0</v>
      </c>
      <c r="I75" s="41">
        <v>0.0</v>
      </c>
      <c r="J75" s="41">
        <v>0.0</v>
      </c>
      <c r="K75" s="41">
        <v>0.0</v>
      </c>
      <c r="L75" s="41">
        <v>0.0</v>
      </c>
      <c r="M75" s="41">
        <v>0.0</v>
      </c>
      <c r="O75" s="2"/>
    </row>
    <row r="76" ht="12.0" customHeight="1">
      <c r="A76" s="43" t="s">
        <v>97</v>
      </c>
      <c r="B76" s="41">
        <v>0.0</v>
      </c>
      <c r="C76" s="41">
        <v>0.0</v>
      </c>
      <c r="D76" s="41">
        <v>0.0</v>
      </c>
      <c r="E76" s="41">
        <v>0.0</v>
      </c>
      <c r="F76" s="41">
        <v>0.0</v>
      </c>
      <c r="G76" s="41">
        <v>0.0</v>
      </c>
      <c r="H76" s="41">
        <v>0.0</v>
      </c>
      <c r="I76" s="41">
        <v>0.0</v>
      </c>
      <c r="J76" s="41">
        <v>0.0</v>
      </c>
      <c r="K76" s="41">
        <v>0.0</v>
      </c>
      <c r="L76" s="41">
        <v>0.0</v>
      </c>
      <c r="M76" s="41">
        <v>0.0</v>
      </c>
      <c r="O76" s="2"/>
    </row>
    <row r="77" ht="12.0" customHeight="1">
      <c r="A77" s="43" t="s">
        <v>98</v>
      </c>
      <c r="B77" s="41">
        <v>0.0</v>
      </c>
      <c r="C77" s="41">
        <v>0.0</v>
      </c>
      <c r="D77" s="41">
        <v>0.0</v>
      </c>
      <c r="E77" s="41">
        <v>0.0</v>
      </c>
      <c r="F77" s="41">
        <v>0.0</v>
      </c>
      <c r="G77" s="41">
        <v>0.0</v>
      </c>
      <c r="H77" s="41">
        <v>0.0</v>
      </c>
      <c r="I77" s="41">
        <v>0.0</v>
      </c>
      <c r="J77" s="41">
        <v>0.0</v>
      </c>
      <c r="K77" s="41">
        <v>0.0</v>
      </c>
      <c r="L77" s="41">
        <v>0.0</v>
      </c>
      <c r="M77" s="41">
        <v>0.0</v>
      </c>
      <c r="O77" s="2"/>
    </row>
    <row r="78" ht="12.0" customHeight="1">
      <c r="A78" s="45" t="s">
        <v>101</v>
      </c>
      <c r="B78" s="61">
        <f t="shared" ref="B78:M78" si="13">SUM(B73:B77)</f>
        <v>0</v>
      </c>
      <c r="C78" s="61">
        <f t="shared" si="13"/>
        <v>0</v>
      </c>
      <c r="D78" s="61">
        <f t="shared" si="13"/>
        <v>0</v>
      </c>
      <c r="E78" s="61">
        <f t="shared" si="13"/>
        <v>0</v>
      </c>
      <c r="F78" s="61">
        <f t="shared" si="13"/>
        <v>0</v>
      </c>
      <c r="G78" s="61">
        <f t="shared" si="13"/>
        <v>0</v>
      </c>
      <c r="H78" s="61">
        <f t="shared" si="13"/>
        <v>0</v>
      </c>
      <c r="I78" s="61">
        <f t="shared" si="13"/>
        <v>0</v>
      </c>
      <c r="J78" s="61">
        <f t="shared" si="13"/>
        <v>0</v>
      </c>
      <c r="K78" s="61">
        <f t="shared" si="13"/>
        <v>0</v>
      </c>
      <c r="L78" s="61">
        <f t="shared" si="13"/>
        <v>0</v>
      </c>
      <c r="M78" s="61">
        <f t="shared" si="13"/>
        <v>0</v>
      </c>
      <c r="O78" s="2"/>
    </row>
    <row r="79" ht="12.0" customHeight="1">
      <c r="A79" s="43" t="s">
        <v>102</v>
      </c>
      <c r="B79" s="41">
        <v>0.0</v>
      </c>
      <c r="C79" s="41">
        <v>0.0</v>
      </c>
      <c r="D79" s="41">
        <v>0.0</v>
      </c>
      <c r="E79" s="41">
        <v>0.0</v>
      </c>
      <c r="F79" s="41">
        <v>0.0</v>
      </c>
      <c r="G79" s="41">
        <v>0.0</v>
      </c>
      <c r="H79" s="41">
        <v>0.0</v>
      </c>
      <c r="I79" s="41">
        <v>0.0</v>
      </c>
      <c r="J79" s="41">
        <v>0.0</v>
      </c>
      <c r="K79" s="41">
        <v>0.0</v>
      </c>
      <c r="L79" s="41">
        <v>0.0</v>
      </c>
      <c r="M79" s="41">
        <v>0.0</v>
      </c>
      <c r="O79" s="2"/>
    </row>
    <row r="80" ht="12.0" customHeight="1">
      <c r="A80" s="45" t="s">
        <v>103</v>
      </c>
      <c r="B80" s="46">
        <f t="shared" ref="B80:M80" si="14">B71+B78+B79</f>
        <v>0</v>
      </c>
      <c r="C80" s="46">
        <f t="shared" si="14"/>
        <v>0</v>
      </c>
      <c r="D80" s="46">
        <f t="shared" si="14"/>
        <v>0</v>
      </c>
      <c r="E80" s="46">
        <f t="shared" si="14"/>
        <v>0</v>
      </c>
      <c r="F80" s="46">
        <f t="shared" si="14"/>
        <v>0</v>
      </c>
      <c r="G80" s="46">
        <f t="shared" si="14"/>
        <v>0</v>
      </c>
      <c r="H80" s="46">
        <f t="shared" si="14"/>
        <v>0</v>
      </c>
      <c r="I80" s="46">
        <f t="shared" si="14"/>
        <v>0</v>
      </c>
      <c r="J80" s="46">
        <f t="shared" si="14"/>
        <v>0</v>
      </c>
      <c r="K80" s="46">
        <f t="shared" si="14"/>
        <v>0</v>
      </c>
      <c r="L80" s="46">
        <f t="shared" si="14"/>
        <v>0</v>
      </c>
      <c r="M80" s="46">
        <f t="shared" si="14"/>
        <v>0</v>
      </c>
      <c r="O80" s="2"/>
    </row>
    <row r="81" ht="12.0" customHeight="1">
      <c r="A81" s="50" t="s">
        <v>104</v>
      </c>
      <c r="B81" s="51" t="s">
        <v>45</v>
      </c>
      <c r="C81" s="51" t="s">
        <v>45</v>
      </c>
      <c r="D81" s="51" t="s">
        <v>45</v>
      </c>
      <c r="E81" s="51" t="s">
        <v>45</v>
      </c>
      <c r="F81" s="51" t="s">
        <v>45</v>
      </c>
      <c r="G81" s="51" t="s">
        <v>45</v>
      </c>
      <c r="H81" s="51" t="s">
        <v>45</v>
      </c>
      <c r="I81" s="51" t="s">
        <v>45</v>
      </c>
      <c r="J81" s="51" t="s">
        <v>45</v>
      </c>
      <c r="K81" s="51" t="s">
        <v>45</v>
      </c>
      <c r="L81" s="51" t="s">
        <v>45</v>
      </c>
      <c r="M81" s="51" t="s">
        <v>45</v>
      </c>
      <c r="O81" s="2"/>
    </row>
    <row r="82" ht="12.0" customHeight="1">
      <c r="A82" s="40" t="s">
        <v>105</v>
      </c>
      <c r="B82" s="41">
        <v>0.0</v>
      </c>
      <c r="C82" s="41">
        <v>0.0</v>
      </c>
      <c r="D82" s="41">
        <v>0.0</v>
      </c>
      <c r="E82" s="41">
        <v>0.0</v>
      </c>
      <c r="F82" s="41">
        <v>0.0</v>
      </c>
      <c r="G82" s="41">
        <v>0.0</v>
      </c>
      <c r="H82" s="41">
        <v>0.0</v>
      </c>
      <c r="I82" s="41">
        <v>0.0</v>
      </c>
      <c r="J82" s="41">
        <v>0.0</v>
      </c>
      <c r="K82" s="41">
        <v>0.0</v>
      </c>
      <c r="L82" s="41">
        <v>0.0</v>
      </c>
      <c r="M82" s="41">
        <v>0.0</v>
      </c>
      <c r="O82" s="2"/>
    </row>
    <row r="83" ht="12.0" customHeight="1">
      <c r="A83" s="40" t="s">
        <v>106</v>
      </c>
      <c r="B83" s="44">
        <v>0.0</v>
      </c>
      <c r="C83" s="44">
        <v>0.0</v>
      </c>
      <c r="D83" s="44">
        <v>0.0</v>
      </c>
      <c r="E83" s="44">
        <v>0.0</v>
      </c>
      <c r="F83" s="44">
        <v>0.0</v>
      </c>
      <c r="G83" s="44">
        <v>0.0</v>
      </c>
      <c r="H83" s="44">
        <v>0.0</v>
      </c>
      <c r="I83" s="44">
        <v>0.0</v>
      </c>
      <c r="J83" s="44">
        <v>0.0</v>
      </c>
      <c r="K83" s="44">
        <v>0.0</v>
      </c>
      <c r="L83" s="44">
        <v>0.0</v>
      </c>
      <c r="M83" s="44">
        <v>0.0</v>
      </c>
      <c r="O83" s="2"/>
    </row>
    <row r="84" ht="12.0" customHeight="1">
      <c r="A84" s="40" t="s">
        <v>107</v>
      </c>
      <c r="B84" s="41">
        <v>0.0</v>
      </c>
      <c r="C84" s="41">
        <v>0.0</v>
      </c>
      <c r="D84" s="41">
        <v>0.0</v>
      </c>
      <c r="E84" s="41">
        <v>0.0</v>
      </c>
      <c r="F84" s="41">
        <v>0.0</v>
      </c>
      <c r="G84" s="41">
        <v>0.0</v>
      </c>
      <c r="H84" s="41">
        <v>0.0</v>
      </c>
      <c r="I84" s="41">
        <v>0.0</v>
      </c>
      <c r="J84" s="41">
        <v>0.0</v>
      </c>
      <c r="K84" s="41">
        <v>0.0</v>
      </c>
      <c r="L84" s="41">
        <v>0.0</v>
      </c>
      <c r="M84" s="41">
        <v>0.0</v>
      </c>
      <c r="O84" s="2"/>
    </row>
    <row r="85" ht="12.0" customHeight="1">
      <c r="A85" s="40" t="s">
        <v>108</v>
      </c>
      <c r="B85" s="41">
        <v>0.0</v>
      </c>
      <c r="C85" s="41">
        <v>0.0</v>
      </c>
      <c r="D85" s="41">
        <v>0.0</v>
      </c>
      <c r="E85" s="41">
        <v>0.0</v>
      </c>
      <c r="F85" s="41">
        <v>0.0</v>
      </c>
      <c r="G85" s="41">
        <v>0.0</v>
      </c>
      <c r="H85" s="41">
        <v>0.0</v>
      </c>
      <c r="I85" s="41">
        <v>0.0</v>
      </c>
      <c r="J85" s="41">
        <v>0.0</v>
      </c>
      <c r="K85" s="41">
        <v>0.0</v>
      </c>
      <c r="L85" s="41">
        <v>0.0</v>
      </c>
      <c r="M85" s="41">
        <v>0.0</v>
      </c>
      <c r="O85" s="2"/>
    </row>
    <row r="86" ht="12.0" customHeight="1">
      <c r="A86" s="40" t="s">
        <v>109</v>
      </c>
      <c r="B86" s="44">
        <v>0.0</v>
      </c>
      <c r="C86" s="44">
        <v>0.0</v>
      </c>
      <c r="D86" s="44">
        <v>0.0</v>
      </c>
      <c r="E86" s="44">
        <v>0.0</v>
      </c>
      <c r="F86" s="44">
        <v>0.0</v>
      </c>
      <c r="G86" s="44">
        <v>0.0</v>
      </c>
      <c r="H86" s="44">
        <v>0.0</v>
      </c>
      <c r="I86" s="44">
        <v>0.0</v>
      </c>
      <c r="J86" s="44">
        <v>0.0</v>
      </c>
      <c r="K86" s="44">
        <v>0.0</v>
      </c>
      <c r="L86" s="44">
        <v>0.0</v>
      </c>
      <c r="M86" s="44">
        <v>0.0</v>
      </c>
      <c r="O86" s="2"/>
    </row>
    <row r="87" ht="12.0" customHeight="1">
      <c r="A87" s="40" t="s">
        <v>110</v>
      </c>
      <c r="B87" s="41">
        <v>0.0</v>
      </c>
      <c r="C87" s="41">
        <v>0.0</v>
      </c>
      <c r="D87" s="41">
        <v>0.0</v>
      </c>
      <c r="E87" s="41">
        <v>0.0</v>
      </c>
      <c r="F87" s="41">
        <v>0.0</v>
      </c>
      <c r="G87" s="41">
        <v>0.0</v>
      </c>
      <c r="H87" s="41">
        <v>0.0</v>
      </c>
      <c r="I87" s="41">
        <v>0.0</v>
      </c>
      <c r="J87" s="41">
        <v>0.0</v>
      </c>
      <c r="K87" s="41">
        <v>0.0</v>
      </c>
      <c r="L87" s="41">
        <v>0.0</v>
      </c>
      <c r="M87" s="41">
        <v>0.0</v>
      </c>
      <c r="O87" s="2"/>
    </row>
    <row r="88" ht="12.0" customHeight="1">
      <c r="A88" s="40" t="s">
        <v>111</v>
      </c>
      <c r="B88" s="41">
        <v>0.0</v>
      </c>
      <c r="C88" s="41">
        <v>0.0</v>
      </c>
      <c r="D88" s="41">
        <v>0.0</v>
      </c>
      <c r="E88" s="41">
        <v>0.0</v>
      </c>
      <c r="F88" s="41">
        <v>0.0</v>
      </c>
      <c r="G88" s="41">
        <v>0.0</v>
      </c>
      <c r="H88" s="41">
        <v>0.0</v>
      </c>
      <c r="I88" s="41">
        <v>0.0</v>
      </c>
      <c r="J88" s="41">
        <v>0.0</v>
      </c>
      <c r="K88" s="41">
        <v>0.0</v>
      </c>
      <c r="L88" s="41">
        <v>0.0</v>
      </c>
      <c r="M88" s="41">
        <v>0.0</v>
      </c>
      <c r="O88" s="2"/>
    </row>
    <row r="89" ht="12.0" customHeight="1">
      <c r="A89" s="40" t="s">
        <v>112</v>
      </c>
      <c r="B89" s="44">
        <v>0.0</v>
      </c>
      <c r="C89" s="44">
        <v>0.0</v>
      </c>
      <c r="D89" s="44">
        <v>0.0</v>
      </c>
      <c r="E89" s="44">
        <v>0.0</v>
      </c>
      <c r="F89" s="44">
        <v>0.0</v>
      </c>
      <c r="G89" s="44">
        <v>0.0</v>
      </c>
      <c r="H89" s="44">
        <v>0.0</v>
      </c>
      <c r="I89" s="44">
        <v>0.0</v>
      </c>
      <c r="J89" s="44">
        <v>0.0</v>
      </c>
      <c r="K89" s="44">
        <v>0.0</v>
      </c>
      <c r="L89" s="44">
        <v>0.0</v>
      </c>
      <c r="M89" s="44">
        <v>0.0</v>
      </c>
      <c r="O89" s="2"/>
    </row>
    <row r="90" ht="12.0" customHeight="1">
      <c r="A90" s="43" t="s">
        <v>48</v>
      </c>
      <c r="B90" s="41">
        <v>0.0</v>
      </c>
      <c r="C90" s="41">
        <v>0.0</v>
      </c>
      <c r="D90" s="41">
        <v>0.0</v>
      </c>
      <c r="E90" s="41">
        <v>0.0</v>
      </c>
      <c r="F90" s="41">
        <v>0.0</v>
      </c>
      <c r="G90" s="41">
        <v>0.0</v>
      </c>
      <c r="H90" s="41">
        <v>0.0</v>
      </c>
      <c r="I90" s="41">
        <v>0.0</v>
      </c>
      <c r="J90" s="41">
        <v>0.0</v>
      </c>
      <c r="K90" s="41">
        <v>0.0</v>
      </c>
      <c r="L90" s="41">
        <v>0.0</v>
      </c>
      <c r="M90" s="41">
        <v>0.0</v>
      </c>
      <c r="O90" s="2"/>
    </row>
    <row r="91" ht="12.0" customHeight="1">
      <c r="A91" s="45" t="s">
        <v>113</v>
      </c>
      <c r="B91" s="46">
        <f t="shared" ref="B91:M91" si="15">SUM(B82:B90)</f>
        <v>0</v>
      </c>
      <c r="C91" s="46">
        <f t="shared" si="15"/>
        <v>0</v>
      </c>
      <c r="D91" s="46">
        <f t="shared" si="15"/>
        <v>0</v>
      </c>
      <c r="E91" s="46">
        <f t="shared" si="15"/>
        <v>0</v>
      </c>
      <c r="F91" s="46">
        <f t="shared" si="15"/>
        <v>0</v>
      </c>
      <c r="G91" s="46">
        <f t="shared" si="15"/>
        <v>0</v>
      </c>
      <c r="H91" s="46">
        <f t="shared" si="15"/>
        <v>0</v>
      </c>
      <c r="I91" s="46">
        <f t="shared" si="15"/>
        <v>0</v>
      </c>
      <c r="J91" s="46">
        <f t="shared" si="15"/>
        <v>0</v>
      </c>
      <c r="K91" s="46">
        <f t="shared" si="15"/>
        <v>0</v>
      </c>
      <c r="L91" s="46">
        <f t="shared" si="15"/>
        <v>0</v>
      </c>
      <c r="M91" s="46">
        <f t="shared" si="15"/>
        <v>0</v>
      </c>
      <c r="O91" s="2"/>
    </row>
    <row r="92" ht="12.0" customHeight="1">
      <c r="A92" s="50" t="s">
        <v>114</v>
      </c>
      <c r="B92" s="51" t="s">
        <v>45</v>
      </c>
      <c r="C92" s="51" t="s">
        <v>45</v>
      </c>
      <c r="D92" s="51" t="s">
        <v>45</v>
      </c>
      <c r="E92" s="51" t="s">
        <v>45</v>
      </c>
      <c r="F92" s="51" t="s">
        <v>45</v>
      </c>
      <c r="G92" s="51" t="s">
        <v>45</v>
      </c>
      <c r="H92" s="51" t="s">
        <v>45</v>
      </c>
      <c r="I92" s="51" t="s">
        <v>45</v>
      </c>
      <c r="J92" s="51" t="s">
        <v>45</v>
      </c>
      <c r="K92" s="51" t="s">
        <v>45</v>
      </c>
      <c r="L92" s="51" t="s">
        <v>45</v>
      </c>
      <c r="M92" s="51" t="s">
        <v>45</v>
      </c>
      <c r="O92" s="2"/>
    </row>
    <row r="93" ht="12.0" customHeight="1">
      <c r="A93" s="40" t="s">
        <v>115</v>
      </c>
      <c r="B93" s="41">
        <v>0.0</v>
      </c>
      <c r="C93" s="41">
        <v>0.0</v>
      </c>
      <c r="D93" s="41">
        <v>0.0</v>
      </c>
      <c r="E93" s="41">
        <v>0.0</v>
      </c>
      <c r="F93" s="41">
        <v>0.0</v>
      </c>
      <c r="G93" s="41">
        <v>0.0</v>
      </c>
      <c r="H93" s="41">
        <v>0.0</v>
      </c>
      <c r="I93" s="41">
        <v>0.0</v>
      </c>
      <c r="J93" s="41">
        <v>0.0</v>
      </c>
      <c r="K93" s="41">
        <v>0.0</v>
      </c>
      <c r="L93" s="41">
        <v>0.0</v>
      </c>
      <c r="M93" s="41">
        <v>0.0</v>
      </c>
      <c r="O93" s="2"/>
    </row>
    <row r="94" ht="12.0" customHeight="1">
      <c r="A94" s="40" t="s">
        <v>115</v>
      </c>
      <c r="B94" s="44">
        <v>0.0</v>
      </c>
      <c r="C94" s="44">
        <v>0.0</v>
      </c>
      <c r="D94" s="44">
        <v>0.0</v>
      </c>
      <c r="E94" s="44">
        <v>0.0</v>
      </c>
      <c r="F94" s="44">
        <v>0.0</v>
      </c>
      <c r="G94" s="44">
        <v>0.0</v>
      </c>
      <c r="H94" s="44">
        <v>0.0</v>
      </c>
      <c r="I94" s="44">
        <v>0.0</v>
      </c>
      <c r="J94" s="44">
        <v>0.0</v>
      </c>
      <c r="K94" s="44">
        <v>0.0</v>
      </c>
      <c r="L94" s="44">
        <v>0.0</v>
      </c>
      <c r="M94" s="44">
        <v>0.0</v>
      </c>
      <c r="O94" s="2"/>
    </row>
    <row r="95" ht="12.0" customHeight="1">
      <c r="A95" s="40" t="s">
        <v>115</v>
      </c>
      <c r="B95" s="41">
        <v>0.0</v>
      </c>
      <c r="C95" s="41">
        <v>0.0</v>
      </c>
      <c r="D95" s="41">
        <v>0.0</v>
      </c>
      <c r="E95" s="41">
        <v>0.0</v>
      </c>
      <c r="F95" s="41">
        <v>0.0</v>
      </c>
      <c r="G95" s="41">
        <v>0.0</v>
      </c>
      <c r="H95" s="41">
        <v>0.0</v>
      </c>
      <c r="I95" s="41">
        <v>0.0</v>
      </c>
      <c r="J95" s="41">
        <v>0.0</v>
      </c>
      <c r="K95" s="41">
        <v>0.0</v>
      </c>
      <c r="L95" s="41">
        <v>0.0</v>
      </c>
      <c r="M95" s="41">
        <v>0.0</v>
      </c>
      <c r="O95" s="2"/>
    </row>
    <row r="96" ht="12.0" customHeight="1">
      <c r="A96" s="40" t="s">
        <v>115</v>
      </c>
      <c r="B96" s="41">
        <v>0.0</v>
      </c>
      <c r="C96" s="41">
        <v>0.0</v>
      </c>
      <c r="D96" s="41">
        <v>0.0</v>
      </c>
      <c r="E96" s="41">
        <v>0.0</v>
      </c>
      <c r="F96" s="41">
        <v>0.0</v>
      </c>
      <c r="G96" s="41">
        <v>0.0</v>
      </c>
      <c r="H96" s="41">
        <v>0.0</v>
      </c>
      <c r="I96" s="41">
        <v>0.0</v>
      </c>
      <c r="J96" s="41">
        <v>0.0</v>
      </c>
      <c r="K96" s="41">
        <v>0.0</v>
      </c>
      <c r="L96" s="41">
        <v>0.0</v>
      </c>
      <c r="M96" s="41">
        <v>0.0</v>
      </c>
      <c r="O96" s="2"/>
    </row>
    <row r="97" ht="12.0" customHeight="1">
      <c r="A97" s="40" t="s">
        <v>115</v>
      </c>
      <c r="B97" s="41">
        <v>0.0</v>
      </c>
      <c r="C97" s="41">
        <v>0.0</v>
      </c>
      <c r="D97" s="41">
        <v>0.0</v>
      </c>
      <c r="E97" s="41">
        <v>0.0</v>
      </c>
      <c r="F97" s="41">
        <v>0.0</v>
      </c>
      <c r="G97" s="41">
        <v>0.0</v>
      </c>
      <c r="H97" s="41">
        <v>0.0</v>
      </c>
      <c r="I97" s="41">
        <v>0.0</v>
      </c>
      <c r="J97" s="41">
        <v>0.0</v>
      </c>
      <c r="K97" s="41">
        <v>0.0</v>
      </c>
      <c r="L97" s="41">
        <v>0.0</v>
      </c>
      <c r="M97" s="41">
        <v>0.0</v>
      </c>
      <c r="O97" s="2"/>
    </row>
    <row r="98" ht="12.0" customHeight="1">
      <c r="A98" s="40" t="s">
        <v>115</v>
      </c>
      <c r="B98" s="61">
        <f t="shared" ref="B98:M98" si="16">SUM(B93:B97)</f>
        <v>0</v>
      </c>
      <c r="C98" s="61">
        <f t="shared" si="16"/>
        <v>0</v>
      </c>
      <c r="D98" s="61">
        <f t="shared" si="16"/>
        <v>0</v>
      </c>
      <c r="E98" s="61">
        <f t="shared" si="16"/>
        <v>0</v>
      </c>
      <c r="F98" s="61">
        <f t="shared" si="16"/>
        <v>0</v>
      </c>
      <c r="G98" s="61">
        <f t="shared" si="16"/>
        <v>0</v>
      </c>
      <c r="H98" s="61">
        <f t="shared" si="16"/>
        <v>0</v>
      </c>
      <c r="I98" s="61">
        <f t="shared" si="16"/>
        <v>0</v>
      </c>
      <c r="J98" s="61">
        <f t="shared" si="16"/>
        <v>0</v>
      </c>
      <c r="K98" s="61">
        <f t="shared" si="16"/>
        <v>0</v>
      </c>
      <c r="L98" s="61">
        <f t="shared" si="16"/>
        <v>0</v>
      </c>
      <c r="M98" s="61">
        <f t="shared" si="16"/>
        <v>0</v>
      </c>
      <c r="O98" s="2"/>
    </row>
    <row r="99" ht="12.0" customHeight="1">
      <c r="A99" s="40" t="s">
        <v>115</v>
      </c>
      <c r="B99" s="41">
        <v>0.0</v>
      </c>
      <c r="C99" s="41">
        <v>0.0</v>
      </c>
      <c r="D99" s="41">
        <v>0.0</v>
      </c>
      <c r="E99" s="41">
        <v>0.0</v>
      </c>
      <c r="F99" s="41">
        <v>0.0</v>
      </c>
      <c r="G99" s="41">
        <v>0.0</v>
      </c>
      <c r="H99" s="41">
        <v>0.0</v>
      </c>
      <c r="I99" s="41">
        <v>0.0</v>
      </c>
      <c r="J99" s="41">
        <v>0.0</v>
      </c>
      <c r="K99" s="41">
        <v>0.0</v>
      </c>
      <c r="L99" s="41">
        <v>0.0</v>
      </c>
      <c r="M99" s="41">
        <v>0.0</v>
      </c>
      <c r="O99" s="2"/>
    </row>
    <row r="100" ht="12.0" customHeight="1">
      <c r="A100" s="45" t="s">
        <v>116</v>
      </c>
      <c r="B100" s="46">
        <f t="shared" ref="B100:M100" si="17">SUM(B93:B99)</f>
        <v>0</v>
      </c>
      <c r="C100" s="46">
        <f t="shared" si="17"/>
        <v>0</v>
      </c>
      <c r="D100" s="46">
        <f t="shared" si="17"/>
        <v>0</v>
      </c>
      <c r="E100" s="46">
        <f t="shared" si="17"/>
        <v>0</v>
      </c>
      <c r="F100" s="46">
        <f t="shared" si="17"/>
        <v>0</v>
      </c>
      <c r="G100" s="46">
        <f t="shared" si="17"/>
        <v>0</v>
      </c>
      <c r="H100" s="46">
        <f t="shared" si="17"/>
        <v>0</v>
      </c>
      <c r="I100" s="46">
        <f t="shared" si="17"/>
        <v>0</v>
      </c>
      <c r="J100" s="46">
        <f t="shared" si="17"/>
        <v>0</v>
      </c>
      <c r="K100" s="46">
        <f t="shared" si="17"/>
        <v>0</v>
      </c>
      <c r="L100" s="46">
        <f t="shared" si="17"/>
        <v>0</v>
      </c>
      <c r="M100" s="46">
        <f t="shared" si="17"/>
        <v>0</v>
      </c>
      <c r="O100" s="2"/>
    </row>
    <row r="101" ht="12.0" customHeight="1">
      <c r="A101" s="57" t="s">
        <v>117</v>
      </c>
      <c r="B101" s="58">
        <f>B34+B40+B51+B58+B63+B80+B91+B100</f>
        <v>0</v>
      </c>
      <c r="C101" s="58">
        <f t="shared" ref="C101:M101" si="18">C34+C40+C51+C80+C91</f>
        <v>0</v>
      </c>
      <c r="D101" s="58">
        <f t="shared" si="18"/>
        <v>0</v>
      </c>
      <c r="E101" s="58">
        <f t="shared" si="18"/>
        <v>0</v>
      </c>
      <c r="F101" s="58">
        <f t="shared" si="18"/>
        <v>0</v>
      </c>
      <c r="G101" s="58">
        <f t="shared" si="18"/>
        <v>0</v>
      </c>
      <c r="H101" s="58">
        <f t="shared" si="18"/>
        <v>0</v>
      </c>
      <c r="I101" s="58">
        <f t="shared" si="18"/>
        <v>0</v>
      </c>
      <c r="J101" s="58">
        <f t="shared" si="18"/>
        <v>0</v>
      </c>
      <c r="K101" s="58">
        <f t="shared" si="18"/>
        <v>0</v>
      </c>
      <c r="L101" s="58">
        <f t="shared" si="18"/>
        <v>0</v>
      </c>
      <c r="M101" s="63">
        <f t="shared" si="18"/>
        <v>0</v>
      </c>
      <c r="O101" s="2"/>
    </row>
    <row r="102" ht="12.0" customHeight="1">
      <c r="A102" s="57" t="s">
        <v>118</v>
      </c>
      <c r="B102" s="64">
        <f t="shared" ref="B102:M102" si="19">B24-B101</f>
        <v>0</v>
      </c>
      <c r="C102" s="64">
        <f t="shared" si="19"/>
        <v>0</v>
      </c>
      <c r="D102" s="64">
        <f t="shared" si="19"/>
        <v>0</v>
      </c>
      <c r="E102" s="64">
        <f t="shared" si="19"/>
        <v>0</v>
      </c>
      <c r="F102" s="64">
        <f t="shared" si="19"/>
        <v>0</v>
      </c>
      <c r="G102" s="64">
        <f t="shared" si="19"/>
        <v>0</v>
      </c>
      <c r="H102" s="64">
        <f t="shared" si="19"/>
        <v>0</v>
      </c>
      <c r="I102" s="64">
        <f t="shared" si="19"/>
        <v>0</v>
      </c>
      <c r="J102" s="64">
        <f t="shared" si="19"/>
        <v>0</v>
      </c>
      <c r="K102" s="64">
        <f t="shared" si="19"/>
        <v>0</v>
      </c>
      <c r="L102" s="64">
        <f t="shared" si="19"/>
        <v>0</v>
      </c>
      <c r="M102" s="65">
        <f t="shared" si="19"/>
        <v>0</v>
      </c>
      <c r="O102" s="2"/>
    </row>
    <row r="103" ht="30.0" customHeight="1">
      <c r="A103" s="66" t="s">
        <v>119</v>
      </c>
      <c r="B103" s="67">
        <f>B102</f>
        <v>0</v>
      </c>
      <c r="C103" s="67">
        <f t="shared" ref="C103:M103" si="20">C102+B103</f>
        <v>0</v>
      </c>
      <c r="D103" s="67">
        <f t="shared" si="20"/>
        <v>0</v>
      </c>
      <c r="E103" s="67">
        <f t="shared" si="20"/>
        <v>0</v>
      </c>
      <c r="F103" s="67">
        <f t="shared" si="20"/>
        <v>0</v>
      </c>
      <c r="G103" s="67">
        <f t="shared" si="20"/>
        <v>0</v>
      </c>
      <c r="H103" s="67">
        <f t="shared" si="20"/>
        <v>0</v>
      </c>
      <c r="I103" s="67">
        <f t="shared" si="20"/>
        <v>0</v>
      </c>
      <c r="J103" s="67">
        <f t="shared" si="20"/>
        <v>0</v>
      </c>
      <c r="K103" s="67">
        <f t="shared" si="20"/>
        <v>0</v>
      </c>
      <c r="L103" s="67">
        <f t="shared" si="20"/>
        <v>0</v>
      </c>
      <c r="M103" s="67">
        <f t="shared" si="20"/>
        <v>0</v>
      </c>
      <c r="O103" s="2"/>
    </row>
    <row r="104" ht="12.0" customHeight="1">
      <c r="O104" s="2"/>
    </row>
    <row r="105" ht="12.0" customHeight="1">
      <c r="O105" s="2"/>
    </row>
    <row r="106" ht="12.0" customHeight="1">
      <c r="O106" s="2"/>
    </row>
    <row r="107" ht="12.0" customHeight="1">
      <c r="O107" s="2"/>
    </row>
    <row r="108" ht="12.0" customHeight="1">
      <c r="O108" s="2"/>
    </row>
    <row r="109" ht="12.0" customHeight="1">
      <c r="O109" s="2"/>
    </row>
    <row r="110" ht="12.0" customHeight="1">
      <c r="O110" s="2"/>
    </row>
    <row r="111" ht="12.0" customHeight="1">
      <c r="O111" s="2"/>
    </row>
    <row r="112" ht="12.0" customHeight="1">
      <c r="O112" s="2"/>
    </row>
    <row r="113" ht="12.0" customHeight="1">
      <c r="O113" s="2"/>
    </row>
    <row r="114" ht="12.0" customHeight="1">
      <c r="O114" s="2"/>
    </row>
    <row r="115" ht="12.0" customHeight="1">
      <c r="O115" s="2"/>
    </row>
    <row r="116" ht="12.0" customHeight="1">
      <c r="O116" s="2"/>
    </row>
    <row r="117" ht="12.0" customHeight="1">
      <c r="O117" s="2"/>
    </row>
    <row r="118" ht="12.0" customHeight="1">
      <c r="O118" s="2"/>
    </row>
    <row r="119" ht="12.0" customHeight="1">
      <c r="O119" s="2"/>
    </row>
    <row r="120" ht="12.0" customHeight="1">
      <c r="O120" s="2"/>
    </row>
    <row r="121" ht="12.0" customHeight="1">
      <c r="O121" s="2"/>
    </row>
    <row r="122" ht="12.0" customHeight="1">
      <c r="O122" s="2"/>
    </row>
    <row r="123" ht="12.0" customHeight="1">
      <c r="O123" s="2"/>
    </row>
    <row r="124" ht="12.0" customHeight="1">
      <c r="O124" s="2"/>
    </row>
    <row r="125" ht="12.0" customHeight="1">
      <c r="O125" s="2"/>
    </row>
    <row r="126" ht="12.0" customHeight="1">
      <c r="O126" s="2"/>
    </row>
    <row r="127" ht="12.0" customHeight="1">
      <c r="O127" s="2"/>
    </row>
    <row r="128" ht="12.0" customHeight="1">
      <c r="O128" s="2"/>
    </row>
    <row r="129" ht="12.0" customHeight="1">
      <c r="O129" s="2"/>
    </row>
    <row r="130" ht="12.0" customHeight="1">
      <c r="O130" s="2"/>
    </row>
    <row r="131" ht="12.0" customHeight="1">
      <c r="O131" s="2"/>
    </row>
    <row r="132" ht="12.0" customHeight="1">
      <c r="O132" s="2"/>
    </row>
    <row r="133" ht="12.0" customHeight="1">
      <c r="O133" s="2"/>
    </row>
    <row r="134" ht="12.0" customHeight="1">
      <c r="O134" s="2"/>
    </row>
    <row r="135" ht="12.0" customHeight="1">
      <c r="O135" s="2"/>
    </row>
    <row r="136" ht="12.0" customHeight="1">
      <c r="O136" s="2"/>
    </row>
    <row r="137" ht="12.0" customHeight="1">
      <c r="O137" s="2"/>
    </row>
    <row r="138" ht="12.0" customHeight="1">
      <c r="O138" s="2"/>
    </row>
    <row r="139" ht="12.0" customHeight="1">
      <c r="O139" s="2"/>
    </row>
    <row r="140" ht="12.0" customHeight="1">
      <c r="O140" s="2"/>
    </row>
    <row r="141" ht="12.0" customHeight="1">
      <c r="O141" s="2"/>
    </row>
    <row r="142" ht="12.0" customHeight="1">
      <c r="O142" s="2"/>
    </row>
    <row r="143" ht="12.0" customHeight="1">
      <c r="O143" s="2"/>
    </row>
    <row r="144" ht="12.0" customHeight="1">
      <c r="O144" s="2"/>
    </row>
    <row r="145" ht="12.0" customHeight="1">
      <c r="O145" s="2"/>
    </row>
    <row r="146" ht="12.0" customHeight="1">
      <c r="O146" s="2"/>
    </row>
    <row r="147" ht="12.0" customHeight="1">
      <c r="O147" s="2"/>
    </row>
    <row r="148" ht="12.0" customHeight="1">
      <c r="O148" s="2"/>
    </row>
    <row r="149" ht="12.0" customHeight="1">
      <c r="O149" s="2"/>
    </row>
    <row r="150" ht="12.0" customHeight="1">
      <c r="O150" s="2"/>
    </row>
    <row r="151" ht="12.0" customHeight="1">
      <c r="O151" s="2"/>
    </row>
    <row r="152" ht="12.0" customHeight="1">
      <c r="O152" s="2"/>
    </row>
    <row r="153" ht="12.0" customHeight="1">
      <c r="O153" s="2"/>
    </row>
    <row r="154" ht="12.0" customHeight="1">
      <c r="O154" s="2"/>
    </row>
    <row r="155" ht="12.0" customHeight="1">
      <c r="O155" s="2"/>
    </row>
    <row r="156" ht="12.0" customHeight="1">
      <c r="O156" s="2"/>
    </row>
    <row r="157" ht="12.0" customHeight="1">
      <c r="O157" s="2"/>
    </row>
    <row r="158" ht="12.0" customHeight="1">
      <c r="O158" s="2"/>
    </row>
    <row r="159" ht="12.0" customHeight="1">
      <c r="O159" s="2"/>
    </row>
    <row r="160" ht="12.0" customHeight="1">
      <c r="O160" s="2"/>
    </row>
    <row r="161" ht="12.0" customHeight="1">
      <c r="O161" s="2"/>
    </row>
    <row r="162" ht="12.0" customHeight="1">
      <c r="O162" s="2"/>
    </row>
    <row r="163" ht="12.0" customHeight="1">
      <c r="O163" s="2"/>
    </row>
    <row r="164" ht="12.0" customHeight="1">
      <c r="O164" s="2"/>
    </row>
    <row r="165" ht="12.0" customHeight="1">
      <c r="O165" s="2"/>
    </row>
    <row r="166" ht="12.0" customHeight="1">
      <c r="O166" s="2"/>
    </row>
    <row r="167" ht="12.0" customHeight="1">
      <c r="O167" s="2"/>
    </row>
    <row r="168" ht="12.0" customHeight="1">
      <c r="O168" s="2"/>
    </row>
    <row r="169" ht="12.0" customHeight="1">
      <c r="O169" s="2"/>
    </row>
    <row r="170" ht="12.0" customHeight="1">
      <c r="O170" s="2"/>
    </row>
    <row r="171" ht="12.0" customHeight="1">
      <c r="O171" s="2"/>
    </row>
    <row r="172" ht="12.0" customHeight="1">
      <c r="O172" s="2"/>
    </row>
    <row r="173" ht="12.0" customHeight="1">
      <c r="O173" s="2"/>
    </row>
    <row r="174" ht="12.0" customHeight="1">
      <c r="O174" s="2"/>
    </row>
    <row r="175" ht="12.0" customHeight="1">
      <c r="O175" s="2"/>
    </row>
    <row r="176" ht="12.0" customHeight="1">
      <c r="O176" s="2"/>
    </row>
    <row r="177" ht="12.0" customHeight="1">
      <c r="O177" s="2"/>
    </row>
    <row r="178" ht="12.0" customHeight="1">
      <c r="O178" s="2"/>
    </row>
    <row r="179" ht="12.0" customHeight="1">
      <c r="O179" s="2"/>
    </row>
    <row r="180" ht="12.0" customHeight="1">
      <c r="O180" s="2"/>
    </row>
    <row r="181" ht="12.0" customHeight="1">
      <c r="O181" s="2"/>
    </row>
    <row r="182" ht="12.0" customHeight="1">
      <c r="O182" s="2"/>
    </row>
    <row r="183" ht="12.0" customHeight="1">
      <c r="O183" s="2"/>
    </row>
    <row r="184" ht="12.0" customHeight="1">
      <c r="O184" s="2"/>
    </row>
    <row r="185" ht="12.0" customHeight="1">
      <c r="O185" s="2"/>
    </row>
    <row r="186" ht="12.0" customHeight="1">
      <c r="O186" s="2"/>
    </row>
    <row r="187" ht="12.0" customHeight="1">
      <c r="O187" s="2"/>
    </row>
    <row r="188" ht="12.0" customHeight="1">
      <c r="O188" s="2"/>
    </row>
    <row r="189" ht="12.0" customHeight="1">
      <c r="O189" s="2"/>
    </row>
    <row r="190" ht="12.0" customHeight="1">
      <c r="O190" s="2"/>
    </row>
    <row r="191" ht="12.0" customHeight="1">
      <c r="O191" s="2"/>
    </row>
    <row r="192" ht="12.0" customHeight="1">
      <c r="O192" s="2"/>
    </row>
    <row r="193" ht="12.0" customHeight="1">
      <c r="O193" s="2"/>
    </row>
    <row r="194" ht="12.0" customHeight="1">
      <c r="O194" s="2"/>
    </row>
    <row r="195" ht="12.0" customHeight="1">
      <c r="O195" s="2"/>
    </row>
    <row r="196" ht="12.0" customHeight="1">
      <c r="O196" s="2"/>
    </row>
    <row r="197" ht="12.0" customHeight="1">
      <c r="O197" s="2"/>
    </row>
    <row r="198" ht="12.0" customHeight="1">
      <c r="O198" s="2"/>
    </row>
    <row r="199" ht="12.0" customHeight="1">
      <c r="O199" s="2"/>
    </row>
    <row r="200" ht="12.0" customHeight="1">
      <c r="O200" s="2"/>
    </row>
    <row r="201" ht="12.0" customHeight="1">
      <c r="O201" s="2"/>
    </row>
    <row r="202" ht="12.0" customHeight="1">
      <c r="O202" s="2"/>
    </row>
    <row r="203" ht="12.0" customHeight="1">
      <c r="O203" s="2"/>
    </row>
    <row r="204" ht="12.0" customHeight="1">
      <c r="O204" s="2"/>
    </row>
    <row r="205" ht="12.0" customHeight="1">
      <c r="O205" s="2"/>
    </row>
    <row r="206" ht="12.0" customHeight="1">
      <c r="O206" s="2"/>
    </row>
    <row r="207" ht="12.0" customHeight="1">
      <c r="O207" s="2"/>
    </row>
    <row r="208" ht="12.0" customHeight="1">
      <c r="O208" s="2"/>
    </row>
    <row r="209" ht="12.0" customHeight="1">
      <c r="O209" s="2"/>
    </row>
    <row r="210" ht="12.0" customHeight="1">
      <c r="O210" s="2"/>
    </row>
    <row r="211" ht="12.0" customHeight="1">
      <c r="O211" s="2"/>
    </row>
    <row r="212" ht="12.0" customHeight="1">
      <c r="O212" s="2"/>
    </row>
    <row r="213" ht="12.0" customHeight="1">
      <c r="O213" s="2"/>
    </row>
    <row r="214" ht="12.0" customHeight="1">
      <c r="O214" s="2"/>
    </row>
    <row r="215" ht="12.0" customHeight="1">
      <c r="O215" s="2"/>
    </row>
    <row r="216" ht="12.0" customHeight="1">
      <c r="O216" s="2"/>
    </row>
    <row r="217" ht="12.0" customHeight="1">
      <c r="O217" s="2"/>
    </row>
    <row r="218" ht="12.0" customHeight="1">
      <c r="O218" s="2"/>
    </row>
    <row r="219" ht="12.0" customHeight="1">
      <c r="O219" s="2"/>
    </row>
    <row r="220" ht="12.0" customHeight="1">
      <c r="O220" s="2"/>
    </row>
    <row r="221" ht="12.0" customHeight="1">
      <c r="O221" s="2"/>
    </row>
    <row r="222" ht="12.0" customHeight="1">
      <c r="O222" s="2"/>
    </row>
    <row r="223" ht="12.0" customHeight="1">
      <c r="O223" s="2"/>
    </row>
    <row r="224" ht="12.0" customHeight="1">
      <c r="O224" s="2"/>
    </row>
    <row r="225" ht="12.0" customHeight="1">
      <c r="O225" s="2"/>
    </row>
    <row r="226" ht="12.0" customHeight="1">
      <c r="O226" s="2"/>
    </row>
    <row r="227" ht="12.0" customHeight="1">
      <c r="O227" s="2"/>
    </row>
    <row r="228" ht="12.0" customHeight="1">
      <c r="O228" s="2"/>
    </row>
    <row r="229" ht="12.0" customHeight="1">
      <c r="O229" s="2"/>
    </row>
    <row r="230" ht="12.0" customHeight="1">
      <c r="O230" s="2"/>
    </row>
    <row r="231" ht="12.0" customHeight="1">
      <c r="O231" s="2"/>
    </row>
    <row r="232" ht="12.0" customHeight="1">
      <c r="O232" s="2"/>
    </row>
    <row r="233" ht="12.0" customHeight="1">
      <c r="O233" s="2"/>
    </row>
    <row r="234" ht="12.0" customHeight="1">
      <c r="O234" s="2"/>
    </row>
    <row r="235" ht="12.0" customHeight="1">
      <c r="O235" s="2"/>
    </row>
    <row r="236" ht="12.0" customHeight="1">
      <c r="O236" s="2"/>
    </row>
    <row r="237" ht="12.0" customHeight="1">
      <c r="O237" s="2"/>
    </row>
    <row r="238" ht="12.0" customHeight="1">
      <c r="O238" s="2"/>
    </row>
    <row r="239" ht="12.0" customHeight="1">
      <c r="O239" s="2"/>
    </row>
    <row r="240" ht="12.0" customHeight="1">
      <c r="O240" s="2"/>
    </row>
    <row r="241" ht="12.0" customHeight="1">
      <c r="O241" s="2"/>
    </row>
    <row r="242" ht="12.0" customHeight="1">
      <c r="O242" s="2"/>
    </row>
    <row r="243" ht="12.0" customHeight="1">
      <c r="O243" s="2"/>
    </row>
    <row r="244" ht="12.0" customHeight="1">
      <c r="O244" s="2"/>
    </row>
    <row r="245" ht="12.0" customHeight="1">
      <c r="O245" s="2"/>
    </row>
    <row r="246" ht="12.0" customHeight="1">
      <c r="O246" s="2"/>
    </row>
    <row r="247" ht="12.0" customHeight="1">
      <c r="O247" s="2"/>
    </row>
    <row r="248" ht="12.0" customHeight="1">
      <c r="O248" s="2"/>
    </row>
    <row r="249" ht="12.0" customHeight="1">
      <c r="O249" s="2"/>
    </row>
    <row r="250" ht="12.0" customHeight="1">
      <c r="O250" s="2"/>
    </row>
    <row r="251" ht="12.0" customHeight="1">
      <c r="O251" s="2"/>
    </row>
    <row r="252" ht="12.0" customHeight="1">
      <c r="O252" s="2"/>
    </row>
    <row r="253" ht="12.0" customHeight="1">
      <c r="O253" s="2"/>
    </row>
    <row r="254" ht="12.0" customHeight="1">
      <c r="O254" s="2"/>
    </row>
    <row r="255" ht="12.0" customHeight="1">
      <c r="O255" s="2"/>
    </row>
    <row r="256" ht="12.0" customHeight="1">
      <c r="O256" s="2"/>
    </row>
    <row r="257" ht="12.0" customHeight="1">
      <c r="O257" s="2"/>
    </row>
    <row r="258" ht="12.0" customHeight="1">
      <c r="O258" s="2"/>
    </row>
    <row r="259" ht="12.0" customHeight="1">
      <c r="O259" s="2"/>
    </row>
    <row r="260" ht="12.0" customHeight="1">
      <c r="O260" s="2"/>
    </row>
    <row r="261" ht="12.0" customHeight="1">
      <c r="O261" s="2"/>
    </row>
    <row r="262" ht="12.0" customHeight="1">
      <c r="O262" s="2"/>
    </row>
    <row r="263" ht="12.0" customHeight="1">
      <c r="O263" s="2"/>
    </row>
    <row r="264" ht="12.0" customHeight="1">
      <c r="O264" s="2"/>
    </row>
    <row r="265" ht="12.0" customHeight="1">
      <c r="O265" s="2"/>
    </row>
    <row r="266" ht="12.0" customHeight="1">
      <c r="O266" s="2"/>
    </row>
    <row r="267" ht="12.0" customHeight="1">
      <c r="O267" s="2"/>
    </row>
    <row r="268" ht="12.0" customHeight="1">
      <c r="O268" s="2"/>
    </row>
    <row r="269" ht="12.0" customHeight="1">
      <c r="O269" s="2"/>
    </row>
    <row r="270" ht="12.0" customHeight="1">
      <c r="O270" s="2"/>
    </row>
    <row r="271" ht="12.0" customHeight="1">
      <c r="O271" s="2"/>
    </row>
    <row r="272" ht="12.0" customHeight="1">
      <c r="O272" s="2"/>
    </row>
    <row r="273" ht="12.0" customHeight="1">
      <c r="O273" s="2"/>
    </row>
    <row r="274" ht="12.0" customHeight="1">
      <c r="O274" s="2"/>
    </row>
    <row r="275" ht="12.0" customHeight="1">
      <c r="O275" s="2"/>
    </row>
    <row r="276" ht="12.0" customHeight="1">
      <c r="O276" s="2"/>
    </row>
    <row r="277" ht="12.0" customHeight="1">
      <c r="O277" s="2"/>
    </row>
    <row r="278" ht="12.0" customHeight="1">
      <c r="O278" s="2"/>
    </row>
    <row r="279" ht="12.0" customHeight="1">
      <c r="O279" s="2"/>
    </row>
    <row r="280" ht="12.0" customHeight="1">
      <c r="O280" s="2"/>
    </row>
    <row r="281" ht="12.0" customHeight="1">
      <c r="O281" s="2"/>
    </row>
    <row r="282" ht="12.0" customHeight="1">
      <c r="O282" s="2"/>
    </row>
    <row r="283" ht="12.0" customHeight="1">
      <c r="O283" s="2"/>
    </row>
    <row r="284" ht="12.0" customHeight="1">
      <c r="O284" s="2"/>
    </row>
    <row r="285" ht="12.0" customHeight="1">
      <c r="O285" s="2"/>
    </row>
    <row r="286" ht="12.0" customHeight="1">
      <c r="O286" s="2"/>
    </row>
    <row r="287" ht="12.0" customHeight="1">
      <c r="O287" s="2"/>
    </row>
    <row r="288" ht="12.0" customHeight="1">
      <c r="O288" s="2"/>
    </row>
    <row r="289" ht="12.0" customHeight="1">
      <c r="O289" s="2"/>
    </row>
    <row r="290" ht="12.0" customHeight="1">
      <c r="O290" s="2"/>
    </row>
    <row r="291" ht="12.0" customHeight="1">
      <c r="O291" s="2"/>
    </row>
    <row r="292" ht="12.0" customHeight="1">
      <c r="O292" s="2"/>
    </row>
    <row r="293" ht="12.0" customHeight="1">
      <c r="O293" s="2"/>
    </row>
    <row r="294" ht="12.0" customHeight="1">
      <c r="O294" s="2"/>
    </row>
    <row r="295" ht="12.0" customHeight="1">
      <c r="O295" s="2"/>
    </row>
    <row r="296" ht="12.0" customHeight="1">
      <c r="O296" s="2"/>
    </row>
    <row r="297" ht="12.0" customHeight="1">
      <c r="O297" s="2"/>
    </row>
    <row r="298" ht="12.0" customHeight="1">
      <c r="O298" s="2"/>
    </row>
    <row r="299" ht="12.0" customHeight="1">
      <c r="O299" s="2"/>
    </row>
    <row r="300" ht="12.0" customHeight="1">
      <c r="O300" s="2"/>
    </row>
    <row r="301" ht="12.0" customHeight="1">
      <c r="O301" s="2"/>
    </row>
    <row r="302" ht="12.0" customHeight="1">
      <c r="O302" s="2"/>
    </row>
    <row r="303" ht="12.0" customHeight="1">
      <c r="O303" s="2"/>
    </row>
    <row r="304" ht="12.0" customHeight="1">
      <c r="O304" s="2"/>
    </row>
    <row r="305" ht="12.0" customHeight="1">
      <c r="O305" s="2"/>
    </row>
    <row r="306" ht="12.0" customHeight="1">
      <c r="O306" s="2"/>
    </row>
    <row r="307" ht="12.0" customHeight="1">
      <c r="O307" s="2"/>
    </row>
    <row r="308" ht="12.0" customHeight="1">
      <c r="O308" s="2"/>
    </row>
    <row r="309" ht="12.0" customHeight="1">
      <c r="O309" s="2"/>
    </row>
    <row r="310" ht="12.0" customHeight="1">
      <c r="O310" s="2"/>
    </row>
    <row r="311" ht="12.0" customHeight="1">
      <c r="O311" s="2"/>
    </row>
    <row r="312" ht="12.0" customHeight="1">
      <c r="O312" s="2"/>
    </row>
    <row r="313" ht="12.0" customHeight="1">
      <c r="O313" s="2"/>
    </row>
    <row r="314" ht="12.0" customHeight="1">
      <c r="O314" s="2"/>
    </row>
    <row r="315" ht="12.0" customHeight="1">
      <c r="O315" s="2"/>
    </row>
    <row r="316" ht="12.0" customHeight="1">
      <c r="O316" s="2"/>
    </row>
    <row r="317" ht="12.0" customHeight="1">
      <c r="O317" s="2"/>
    </row>
    <row r="318" ht="12.0" customHeight="1">
      <c r="O318" s="2"/>
    </row>
    <row r="319" ht="12.0" customHeight="1">
      <c r="O319" s="2"/>
    </row>
    <row r="320" ht="12.0" customHeight="1">
      <c r="O320" s="2"/>
    </row>
    <row r="321" ht="12.0" customHeight="1">
      <c r="O321" s="2"/>
    </row>
    <row r="322" ht="12.0" customHeight="1">
      <c r="O322" s="2"/>
    </row>
    <row r="323" ht="12.0" customHeight="1">
      <c r="O323" s="2"/>
    </row>
    <row r="324" ht="12.0" customHeight="1">
      <c r="O324" s="2"/>
    </row>
    <row r="325" ht="12.0" customHeight="1">
      <c r="O325" s="2"/>
    </row>
    <row r="326" ht="12.0" customHeight="1">
      <c r="O326" s="2"/>
    </row>
    <row r="327" ht="12.0" customHeight="1">
      <c r="O327" s="2"/>
    </row>
    <row r="328" ht="12.0" customHeight="1">
      <c r="O328" s="2"/>
    </row>
    <row r="329" ht="12.0" customHeight="1">
      <c r="O329" s="2"/>
    </row>
    <row r="330" ht="12.0" customHeight="1">
      <c r="O330" s="2"/>
    </row>
    <row r="331" ht="12.0" customHeight="1">
      <c r="O331" s="2"/>
    </row>
    <row r="332" ht="12.0" customHeight="1">
      <c r="O332" s="2"/>
    </row>
    <row r="333" ht="12.0" customHeight="1">
      <c r="O333" s="2"/>
    </row>
    <row r="334" ht="12.0" customHeight="1">
      <c r="O334" s="2"/>
    </row>
    <row r="335" ht="12.0" customHeight="1">
      <c r="O335" s="2"/>
    </row>
    <row r="336" ht="12.0" customHeight="1">
      <c r="O336" s="2"/>
    </row>
    <row r="337" ht="12.0" customHeight="1">
      <c r="O337" s="2"/>
    </row>
    <row r="338" ht="12.0" customHeight="1">
      <c r="O338" s="2"/>
    </row>
    <row r="339" ht="12.0" customHeight="1">
      <c r="O339" s="2"/>
    </row>
    <row r="340" ht="12.0" customHeight="1">
      <c r="O340" s="2"/>
    </row>
    <row r="341" ht="12.0" customHeight="1">
      <c r="O341" s="2"/>
    </row>
    <row r="342" ht="12.0" customHeight="1">
      <c r="O342" s="2"/>
    </row>
    <row r="343" ht="12.0" customHeight="1">
      <c r="O343" s="2"/>
    </row>
    <row r="344" ht="12.0" customHeight="1">
      <c r="O344" s="2"/>
    </row>
    <row r="345" ht="12.0" customHeight="1">
      <c r="O345" s="2"/>
    </row>
    <row r="346" ht="12.0" customHeight="1">
      <c r="O346" s="2"/>
    </row>
    <row r="347" ht="12.0" customHeight="1">
      <c r="O347" s="2"/>
    </row>
    <row r="348" ht="12.0" customHeight="1">
      <c r="O348" s="2"/>
    </row>
    <row r="349" ht="12.0" customHeight="1">
      <c r="O349" s="2"/>
    </row>
    <row r="350" ht="12.0" customHeight="1">
      <c r="O350" s="2"/>
    </row>
    <row r="351" ht="12.0" customHeight="1">
      <c r="O351" s="2"/>
    </row>
    <row r="352" ht="12.0" customHeight="1">
      <c r="O352" s="2"/>
    </row>
    <row r="353" ht="12.0" customHeight="1">
      <c r="O353" s="2"/>
    </row>
    <row r="354" ht="12.0" customHeight="1">
      <c r="O354" s="2"/>
    </row>
    <row r="355" ht="12.0" customHeight="1">
      <c r="O355" s="2"/>
    </row>
    <row r="356" ht="12.0" customHeight="1">
      <c r="O356" s="2"/>
    </row>
    <row r="357" ht="12.0" customHeight="1">
      <c r="O357" s="2"/>
    </row>
    <row r="358" ht="12.0" customHeight="1">
      <c r="O358" s="2"/>
    </row>
    <row r="359" ht="12.0" customHeight="1">
      <c r="O359" s="2"/>
    </row>
    <row r="360" ht="12.0" customHeight="1">
      <c r="O360" s="2"/>
    </row>
    <row r="361" ht="12.0" customHeight="1">
      <c r="O361" s="2"/>
    </row>
    <row r="362" ht="12.0" customHeight="1">
      <c r="O362" s="2"/>
    </row>
    <row r="363" ht="12.0" customHeight="1">
      <c r="O363" s="2"/>
    </row>
    <row r="364" ht="12.0" customHeight="1">
      <c r="O364" s="2"/>
    </row>
    <row r="365" ht="12.0" customHeight="1">
      <c r="O365" s="2"/>
    </row>
    <row r="366" ht="12.0" customHeight="1">
      <c r="O366" s="2"/>
    </row>
    <row r="367" ht="12.0" customHeight="1">
      <c r="O367" s="2"/>
    </row>
    <row r="368" ht="12.0" customHeight="1">
      <c r="O368" s="2"/>
    </row>
    <row r="369" ht="12.0" customHeight="1">
      <c r="O369" s="2"/>
    </row>
    <row r="370" ht="12.0" customHeight="1">
      <c r="O370" s="2"/>
    </row>
    <row r="371" ht="12.0" customHeight="1">
      <c r="O371" s="2"/>
    </row>
    <row r="372" ht="12.0" customHeight="1">
      <c r="O372" s="2"/>
    </row>
    <row r="373" ht="12.0" customHeight="1">
      <c r="O373" s="2"/>
    </row>
    <row r="374" ht="12.0" customHeight="1">
      <c r="O374" s="2"/>
    </row>
    <row r="375" ht="12.0" customHeight="1">
      <c r="O375" s="2"/>
    </row>
    <row r="376" ht="12.0" customHeight="1">
      <c r="O376" s="2"/>
    </row>
    <row r="377" ht="12.0" customHeight="1">
      <c r="O377" s="2"/>
    </row>
    <row r="378" ht="12.0" customHeight="1">
      <c r="O378" s="2"/>
    </row>
    <row r="379" ht="12.0" customHeight="1">
      <c r="O379" s="2"/>
    </row>
    <row r="380" ht="12.0" customHeight="1">
      <c r="O380" s="2"/>
    </row>
    <row r="381" ht="12.0" customHeight="1">
      <c r="O381" s="2"/>
    </row>
    <row r="382" ht="12.0" customHeight="1">
      <c r="O382" s="2"/>
    </row>
    <row r="383" ht="12.0" customHeight="1">
      <c r="O383" s="2"/>
    </row>
    <row r="384" ht="12.0" customHeight="1">
      <c r="O384" s="2"/>
    </row>
    <row r="385" ht="12.0" customHeight="1">
      <c r="O385" s="2"/>
    </row>
    <row r="386" ht="12.0" customHeight="1">
      <c r="O386" s="2"/>
    </row>
    <row r="387" ht="12.0" customHeight="1">
      <c r="O387" s="2"/>
    </row>
    <row r="388" ht="12.0" customHeight="1">
      <c r="O388" s="2"/>
    </row>
    <row r="389" ht="12.0" customHeight="1">
      <c r="O389" s="2"/>
    </row>
    <row r="390" ht="12.0" customHeight="1">
      <c r="O390" s="2"/>
    </row>
    <row r="391" ht="12.0" customHeight="1">
      <c r="O391" s="2"/>
    </row>
    <row r="392" ht="12.0" customHeight="1">
      <c r="O392" s="2"/>
    </row>
    <row r="393" ht="12.0" customHeight="1">
      <c r="O393" s="2"/>
    </row>
    <row r="394" ht="12.0" customHeight="1">
      <c r="O394" s="2"/>
    </row>
    <row r="395" ht="12.0" customHeight="1">
      <c r="O395" s="2"/>
    </row>
    <row r="396" ht="12.0" customHeight="1">
      <c r="O396" s="2"/>
    </row>
    <row r="397" ht="12.0" customHeight="1">
      <c r="O397" s="2"/>
    </row>
    <row r="398" ht="12.0" customHeight="1">
      <c r="O398" s="2"/>
    </row>
    <row r="399" ht="12.0" customHeight="1">
      <c r="O399" s="2"/>
    </row>
    <row r="400" ht="12.0" customHeight="1">
      <c r="O400" s="2"/>
    </row>
    <row r="401" ht="12.0" customHeight="1">
      <c r="O401" s="2"/>
    </row>
    <row r="402" ht="12.0" customHeight="1">
      <c r="O402" s="2"/>
    </row>
    <row r="403" ht="12.0" customHeight="1">
      <c r="O403" s="2"/>
    </row>
    <row r="404" ht="12.0" customHeight="1">
      <c r="O404" s="2"/>
    </row>
    <row r="405" ht="12.0" customHeight="1">
      <c r="O405" s="2"/>
    </row>
    <row r="406" ht="12.0" customHeight="1">
      <c r="O406" s="2"/>
    </row>
    <row r="407" ht="12.0" customHeight="1">
      <c r="O407" s="2"/>
    </row>
    <row r="408" ht="12.0" customHeight="1">
      <c r="O408" s="2"/>
    </row>
    <row r="409" ht="12.0" customHeight="1">
      <c r="O409" s="2"/>
    </row>
    <row r="410" ht="12.0" customHeight="1">
      <c r="O410" s="2"/>
    </row>
    <row r="411" ht="12.0" customHeight="1">
      <c r="O411" s="2"/>
    </row>
    <row r="412" ht="12.0" customHeight="1">
      <c r="O412" s="2"/>
    </row>
    <row r="413" ht="12.0" customHeight="1">
      <c r="O413" s="2"/>
    </row>
    <row r="414" ht="12.0" customHeight="1">
      <c r="O414" s="2"/>
    </row>
    <row r="415" ht="12.0" customHeight="1">
      <c r="O415" s="2"/>
    </row>
    <row r="416" ht="12.0" customHeight="1">
      <c r="O416" s="2"/>
    </row>
    <row r="417" ht="12.0" customHeight="1">
      <c r="O417" s="2"/>
    </row>
    <row r="418" ht="12.0" customHeight="1">
      <c r="O418" s="2"/>
    </row>
    <row r="419" ht="12.0" customHeight="1">
      <c r="O419" s="2"/>
    </row>
    <row r="420" ht="12.0" customHeight="1">
      <c r="O420" s="2"/>
    </row>
    <row r="421" ht="12.0" customHeight="1">
      <c r="O421" s="2"/>
    </row>
    <row r="422" ht="12.0" customHeight="1">
      <c r="O422" s="2"/>
    </row>
    <row r="423" ht="12.0" customHeight="1">
      <c r="O423" s="2"/>
    </row>
    <row r="424" ht="12.0" customHeight="1">
      <c r="O424" s="2"/>
    </row>
    <row r="425" ht="12.0" customHeight="1">
      <c r="O425" s="2"/>
    </row>
    <row r="426" ht="12.0" customHeight="1">
      <c r="O426" s="2"/>
    </row>
    <row r="427" ht="12.0" customHeight="1">
      <c r="O427" s="2"/>
    </row>
    <row r="428" ht="12.0" customHeight="1">
      <c r="O428" s="2"/>
    </row>
    <row r="429" ht="12.0" customHeight="1">
      <c r="O429" s="2"/>
    </row>
    <row r="430" ht="12.0" customHeight="1">
      <c r="O430" s="2"/>
    </row>
    <row r="431" ht="12.0" customHeight="1">
      <c r="O431" s="2"/>
    </row>
    <row r="432" ht="12.0" customHeight="1">
      <c r="O432" s="2"/>
    </row>
    <row r="433" ht="12.0" customHeight="1">
      <c r="O433" s="2"/>
    </row>
    <row r="434" ht="12.0" customHeight="1">
      <c r="O434" s="2"/>
    </row>
    <row r="435" ht="12.0" customHeight="1">
      <c r="O435" s="2"/>
    </row>
    <row r="436" ht="12.0" customHeight="1">
      <c r="O436" s="2"/>
    </row>
    <row r="437" ht="12.0" customHeight="1">
      <c r="O437" s="2"/>
    </row>
    <row r="438" ht="12.0" customHeight="1">
      <c r="O438" s="2"/>
    </row>
    <row r="439" ht="12.0" customHeight="1">
      <c r="O439" s="2"/>
    </row>
    <row r="440" ht="12.0" customHeight="1">
      <c r="O440" s="2"/>
    </row>
    <row r="441" ht="12.0" customHeight="1">
      <c r="O441" s="2"/>
    </row>
    <row r="442" ht="12.0" customHeight="1">
      <c r="O442" s="2"/>
    </row>
    <row r="443" ht="12.0" customHeight="1">
      <c r="O443" s="2"/>
    </row>
    <row r="444" ht="12.0" customHeight="1">
      <c r="O444" s="2"/>
    </row>
    <row r="445" ht="12.0" customHeight="1">
      <c r="O445" s="2"/>
    </row>
    <row r="446" ht="12.0" customHeight="1">
      <c r="O446" s="2"/>
    </row>
    <row r="447" ht="12.0" customHeight="1">
      <c r="O447" s="2"/>
    </row>
    <row r="448" ht="12.0" customHeight="1">
      <c r="O448" s="2"/>
    </row>
    <row r="449" ht="12.0" customHeight="1">
      <c r="O449" s="2"/>
    </row>
    <row r="450" ht="12.0" customHeight="1">
      <c r="O450" s="2"/>
    </row>
    <row r="451" ht="12.0" customHeight="1">
      <c r="O451" s="2"/>
    </row>
    <row r="452" ht="12.0" customHeight="1">
      <c r="O452" s="2"/>
    </row>
    <row r="453" ht="12.0" customHeight="1">
      <c r="O453" s="2"/>
    </row>
    <row r="454" ht="12.0" customHeight="1">
      <c r="O454" s="2"/>
    </row>
    <row r="455" ht="12.0" customHeight="1">
      <c r="O455" s="2"/>
    </row>
    <row r="456" ht="12.0" customHeight="1">
      <c r="O456" s="2"/>
    </row>
    <row r="457" ht="12.0" customHeight="1">
      <c r="O457" s="2"/>
    </row>
    <row r="458" ht="12.0" customHeight="1">
      <c r="O458" s="2"/>
    </row>
    <row r="459" ht="12.0" customHeight="1">
      <c r="O459" s="2"/>
    </row>
    <row r="460" ht="12.0" customHeight="1">
      <c r="O460" s="2"/>
    </row>
    <row r="461" ht="12.0" customHeight="1">
      <c r="O461" s="2"/>
    </row>
    <row r="462" ht="12.0" customHeight="1">
      <c r="O462" s="2"/>
    </row>
    <row r="463" ht="12.0" customHeight="1">
      <c r="O463" s="2"/>
    </row>
    <row r="464" ht="12.0" customHeight="1">
      <c r="O464" s="2"/>
    </row>
    <row r="465" ht="12.0" customHeight="1">
      <c r="O465" s="2"/>
    </row>
    <row r="466" ht="12.0" customHeight="1">
      <c r="O466" s="2"/>
    </row>
    <row r="467" ht="12.0" customHeight="1">
      <c r="O467" s="2"/>
    </row>
    <row r="468" ht="12.0" customHeight="1">
      <c r="O468" s="2"/>
    </row>
    <row r="469" ht="12.0" customHeight="1">
      <c r="O469" s="2"/>
    </row>
    <row r="470" ht="12.0" customHeight="1">
      <c r="O470" s="2"/>
    </row>
    <row r="471" ht="12.0" customHeight="1">
      <c r="O471" s="2"/>
    </row>
    <row r="472" ht="12.0" customHeight="1">
      <c r="O472" s="2"/>
    </row>
    <row r="473" ht="12.0" customHeight="1">
      <c r="O473" s="2"/>
    </row>
    <row r="474" ht="12.0" customHeight="1">
      <c r="O474" s="2"/>
    </row>
    <row r="475" ht="12.0" customHeight="1">
      <c r="O475" s="2"/>
    </row>
    <row r="476" ht="12.0" customHeight="1">
      <c r="O476" s="2"/>
    </row>
    <row r="477" ht="12.0" customHeight="1">
      <c r="O477" s="2"/>
    </row>
    <row r="478" ht="12.0" customHeight="1">
      <c r="O478" s="2"/>
    </row>
    <row r="479" ht="12.0" customHeight="1">
      <c r="O479" s="2"/>
    </row>
    <row r="480" ht="12.0" customHeight="1">
      <c r="O480" s="2"/>
    </row>
    <row r="481" ht="12.0" customHeight="1">
      <c r="O481" s="2"/>
    </row>
    <row r="482" ht="12.0" customHeight="1">
      <c r="O482" s="2"/>
    </row>
    <row r="483" ht="12.0" customHeight="1">
      <c r="O483" s="2"/>
    </row>
    <row r="484" ht="12.0" customHeight="1">
      <c r="O484" s="2"/>
    </row>
    <row r="485" ht="12.0" customHeight="1">
      <c r="O485" s="2"/>
    </row>
    <row r="486" ht="12.0" customHeight="1">
      <c r="O486" s="2"/>
    </row>
    <row r="487" ht="12.0" customHeight="1">
      <c r="O487" s="2"/>
    </row>
    <row r="488" ht="12.0" customHeight="1">
      <c r="O488" s="2"/>
    </row>
    <row r="489" ht="12.0" customHeight="1">
      <c r="O489" s="2"/>
    </row>
    <row r="490" ht="12.0" customHeight="1">
      <c r="O490" s="2"/>
    </row>
    <row r="491" ht="12.0" customHeight="1">
      <c r="O491" s="2"/>
    </row>
    <row r="492" ht="12.0" customHeight="1">
      <c r="O492" s="2"/>
    </row>
    <row r="493" ht="12.0" customHeight="1">
      <c r="O493" s="2"/>
    </row>
    <row r="494" ht="12.0" customHeight="1">
      <c r="O494" s="2"/>
    </row>
    <row r="495" ht="12.0" customHeight="1">
      <c r="O495" s="2"/>
    </row>
    <row r="496" ht="12.0" customHeight="1">
      <c r="O496" s="2"/>
    </row>
    <row r="497" ht="12.0" customHeight="1">
      <c r="O497" s="2"/>
    </row>
    <row r="498" ht="12.0" customHeight="1">
      <c r="O498" s="2"/>
    </row>
    <row r="499" ht="12.0" customHeight="1">
      <c r="O499" s="2"/>
    </row>
    <row r="500" ht="12.0" customHeight="1">
      <c r="O500" s="2"/>
    </row>
    <row r="501" ht="12.0" customHeight="1">
      <c r="O501" s="2"/>
    </row>
    <row r="502" ht="12.0" customHeight="1">
      <c r="O502" s="2"/>
    </row>
    <row r="503" ht="12.0" customHeight="1">
      <c r="O503" s="2"/>
    </row>
    <row r="504" ht="12.0" customHeight="1">
      <c r="O504" s="2"/>
    </row>
    <row r="505" ht="12.0" customHeight="1">
      <c r="O505" s="2"/>
    </row>
    <row r="506" ht="12.0" customHeight="1">
      <c r="O506" s="2"/>
    </row>
    <row r="507" ht="12.0" customHeight="1">
      <c r="O507" s="2"/>
    </row>
    <row r="508" ht="12.0" customHeight="1">
      <c r="O508" s="2"/>
    </row>
    <row r="509" ht="12.0" customHeight="1">
      <c r="O509" s="2"/>
    </row>
    <row r="510" ht="12.0" customHeight="1">
      <c r="O510" s="2"/>
    </row>
    <row r="511" ht="12.0" customHeight="1">
      <c r="O511" s="2"/>
    </row>
    <row r="512" ht="12.0" customHeight="1">
      <c r="O512" s="2"/>
    </row>
    <row r="513" ht="12.0" customHeight="1">
      <c r="O513" s="2"/>
    </row>
    <row r="514" ht="12.0" customHeight="1">
      <c r="O514" s="2"/>
    </row>
    <row r="515" ht="12.0" customHeight="1">
      <c r="O515" s="2"/>
    </row>
    <row r="516" ht="12.0" customHeight="1">
      <c r="O516" s="2"/>
    </row>
    <row r="517" ht="12.0" customHeight="1">
      <c r="O517" s="2"/>
    </row>
    <row r="518" ht="12.0" customHeight="1">
      <c r="O518" s="2"/>
    </row>
    <row r="519" ht="12.0" customHeight="1">
      <c r="O519" s="2"/>
    </row>
    <row r="520" ht="12.0" customHeight="1">
      <c r="O520" s="2"/>
    </row>
    <row r="521" ht="12.0" customHeight="1">
      <c r="O521" s="2"/>
    </row>
    <row r="522" ht="12.0" customHeight="1">
      <c r="O522" s="2"/>
    </row>
    <row r="523" ht="12.0" customHeight="1">
      <c r="O523" s="2"/>
    </row>
    <row r="524" ht="12.0" customHeight="1">
      <c r="O524" s="2"/>
    </row>
    <row r="525" ht="12.0" customHeight="1">
      <c r="O525" s="2"/>
    </row>
    <row r="526" ht="12.0" customHeight="1">
      <c r="O526" s="2"/>
    </row>
    <row r="527" ht="12.0" customHeight="1">
      <c r="O527" s="2"/>
    </row>
    <row r="528" ht="12.0" customHeight="1">
      <c r="O528" s="2"/>
    </row>
    <row r="529" ht="12.0" customHeight="1">
      <c r="O529" s="2"/>
    </row>
    <row r="530" ht="12.0" customHeight="1">
      <c r="O530" s="2"/>
    </row>
    <row r="531" ht="12.0" customHeight="1">
      <c r="O531" s="2"/>
    </row>
    <row r="532" ht="12.0" customHeight="1">
      <c r="O532" s="2"/>
    </row>
    <row r="533" ht="12.0" customHeight="1">
      <c r="O533" s="2"/>
    </row>
    <row r="534" ht="12.0" customHeight="1">
      <c r="O534" s="2"/>
    </row>
    <row r="535" ht="12.0" customHeight="1">
      <c r="O535" s="2"/>
    </row>
    <row r="536" ht="12.0" customHeight="1">
      <c r="O536" s="2"/>
    </row>
    <row r="537" ht="12.0" customHeight="1">
      <c r="O537" s="2"/>
    </row>
    <row r="538" ht="12.0" customHeight="1">
      <c r="O538" s="2"/>
    </row>
    <row r="539" ht="12.0" customHeight="1">
      <c r="O539" s="2"/>
    </row>
    <row r="540" ht="12.0" customHeight="1">
      <c r="O540" s="2"/>
    </row>
    <row r="541" ht="12.0" customHeight="1">
      <c r="O541" s="2"/>
    </row>
    <row r="542" ht="12.0" customHeight="1">
      <c r="O542" s="2"/>
    </row>
    <row r="543" ht="12.0" customHeight="1">
      <c r="O543" s="2"/>
    </row>
    <row r="544" ht="12.0" customHeight="1">
      <c r="O544" s="2"/>
    </row>
    <row r="545" ht="12.0" customHeight="1">
      <c r="O545" s="2"/>
    </row>
    <row r="546" ht="12.0" customHeight="1">
      <c r="O546" s="2"/>
    </row>
    <row r="547" ht="12.0" customHeight="1">
      <c r="O547" s="2"/>
    </row>
    <row r="548" ht="12.0" customHeight="1">
      <c r="O548" s="2"/>
    </row>
    <row r="549" ht="12.0" customHeight="1">
      <c r="O549" s="2"/>
    </row>
    <row r="550" ht="12.0" customHeight="1">
      <c r="O550" s="2"/>
    </row>
    <row r="551" ht="12.0" customHeight="1">
      <c r="O551" s="2"/>
    </row>
    <row r="552" ht="12.0" customHeight="1">
      <c r="O552" s="2"/>
    </row>
    <row r="553" ht="12.0" customHeight="1">
      <c r="O553" s="2"/>
    </row>
    <row r="554" ht="12.0" customHeight="1">
      <c r="O554" s="2"/>
    </row>
    <row r="555" ht="12.0" customHeight="1">
      <c r="O555" s="2"/>
    </row>
    <row r="556" ht="12.0" customHeight="1">
      <c r="O556" s="2"/>
    </row>
    <row r="557" ht="12.0" customHeight="1">
      <c r="O557" s="2"/>
    </row>
    <row r="558" ht="12.0" customHeight="1">
      <c r="O558" s="2"/>
    </row>
    <row r="559" ht="12.0" customHeight="1">
      <c r="O559" s="2"/>
    </row>
    <row r="560" ht="12.0" customHeight="1">
      <c r="O560" s="2"/>
    </row>
    <row r="561" ht="12.0" customHeight="1">
      <c r="O561" s="2"/>
    </row>
    <row r="562" ht="12.0" customHeight="1">
      <c r="O562" s="2"/>
    </row>
    <row r="563" ht="12.0" customHeight="1">
      <c r="O563" s="2"/>
    </row>
    <row r="564" ht="12.0" customHeight="1">
      <c r="O564" s="2"/>
    </row>
    <row r="565" ht="12.0" customHeight="1">
      <c r="O565" s="2"/>
    </row>
    <row r="566" ht="12.0" customHeight="1">
      <c r="O566" s="2"/>
    </row>
    <row r="567" ht="12.0" customHeight="1">
      <c r="O567" s="2"/>
    </row>
    <row r="568" ht="12.0" customHeight="1">
      <c r="O568" s="2"/>
    </row>
    <row r="569" ht="12.0" customHeight="1">
      <c r="O569" s="2"/>
    </row>
    <row r="570" ht="12.0" customHeight="1">
      <c r="O570" s="2"/>
    </row>
    <row r="571" ht="12.0" customHeight="1">
      <c r="O571" s="2"/>
    </row>
    <row r="572" ht="12.0" customHeight="1">
      <c r="O572" s="2"/>
    </row>
    <row r="573" ht="12.0" customHeight="1">
      <c r="O573" s="2"/>
    </row>
    <row r="574" ht="12.0" customHeight="1">
      <c r="O574" s="2"/>
    </row>
    <row r="575" ht="12.0" customHeight="1">
      <c r="O575" s="2"/>
    </row>
    <row r="576" ht="12.0" customHeight="1">
      <c r="O576" s="2"/>
    </row>
    <row r="577" ht="12.0" customHeight="1">
      <c r="O577" s="2"/>
    </row>
    <row r="578" ht="12.0" customHeight="1">
      <c r="O578" s="2"/>
    </row>
    <row r="579" ht="12.0" customHeight="1">
      <c r="O579" s="2"/>
    </row>
    <row r="580" ht="12.0" customHeight="1">
      <c r="O580" s="2"/>
    </row>
    <row r="581" ht="12.0" customHeight="1">
      <c r="O581" s="2"/>
    </row>
    <row r="582" ht="12.0" customHeight="1">
      <c r="O582" s="2"/>
    </row>
    <row r="583" ht="12.0" customHeight="1">
      <c r="O583" s="2"/>
    </row>
    <row r="584" ht="12.0" customHeight="1">
      <c r="O584" s="2"/>
    </row>
    <row r="585" ht="12.0" customHeight="1">
      <c r="O585" s="2"/>
    </row>
    <row r="586" ht="12.0" customHeight="1">
      <c r="O586" s="2"/>
    </row>
    <row r="587" ht="12.0" customHeight="1">
      <c r="O587" s="2"/>
    </row>
    <row r="588" ht="12.0" customHeight="1">
      <c r="O588" s="2"/>
    </row>
    <row r="589" ht="12.0" customHeight="1">
      <c r="O589" s="2"/>
    </row>
    <row r="590" ht="12.0" customHeight="1">
      <c r="O590" s="2"/>
    </row>
    <row r="591" ht="12.0" customHeight="1">
      <c r="O591" s="2"/>
    </row>
    <row r="592" ht="12.0" customHeight="1">
      <c r="O592" s="2"/>
    </row>
    <row r="593" ht="12.0" customHeight="1">
      <c r="O593" s="2"/>
    </row>
    <row r="594" ht="12.0" customHeight="1">
      <c r="O594" s="2"/>
    </row>
    <row r="595" ht="12.0" customHeight="1">
      <c r="O595" s="2"/>
    </row>
    <row r="596" ht="12.0" customHeight="1">
      <c r="O596" s="2"/>
    </row>
    <row r="597" ht="12.0" customHeight="1">
      <c r="O597" s="2"/>
    </row>
    <row r="598" ht="12.0" customHeight="1">
      <c r="O598" s="2"/>
    </row>
    <row r="599" ht="12.0" customHeight="1">
      <c r="O599" s="2"/>
    </row>
    <row r="600" ht="12.0" customHeight="1">
      <c r="O600" s="2"/>
    </row>
    <row r="601" ht="12.0" customHeight="1">
      <c r="O601" s="2"/>
    </row>
    <row r="602" ht="12.0" customHeight="1">
      <c r="O602" s="2"/>
    </row>
    <row r="603" ht="12.0" customHeight="1">
      <c r="O603" s="2"/>
    </row>
    <row r="604" ht="12.0" customHeight="1">
      <c r="O604" s="2"/>
    </row>
    <row r="605" ht="12.0" customHeight="1">
      <c r="O605" s="2"/>
    </row>
    <row r="606" ht="12.0" customHeight="1">
      <c r="O606" s="2"/>
    </row>
    <row r="607" ht="12.0" customHeight="1">
      <c r="O607" s="2"/>
    </row>
    <row r="608" ht="12.0" customHeight="1">
      <c r="O608" s="2"/>
    </row>
    <row r="609" ht="12.0" customHeight="1">
      <c r="O609" s="2"/>
    </row>
    <row r="610" ht="12.0" customHeight="1">
      <c r="O610" s="2"/>
    </row>
    <row r="611" ht="12.0" customHeight="1">
      <c r="O611" s="2"/>
    </row>
    <row r="612" ht="12.0" customHeight="1">
      <c r="O612" s="2"/>
    </row>
    <row r="613" ht="12.0" customHeight="1">
      <c r="O613" s="2"/>
    </row>
    <row r="614" ht="12.0" customHeight="1">
      <c r="O614" s="2"/>
    </row>
    <row r="615" ht="12.0" customHeight="1">
      <c r="O615" s="2"/>
    </row>
    <row r="616" ht="12.0" customHeight="1">
      <c r="O616" s="2"/>
    </row>
    <row r="617" ht="12.0" customHeight="1">
      <c r="O617" s="2"/>
    </row>
    <row r="618" ht="12.0" customHeight="1">
      <c r="O618" s="2"/>
    </row>
    <row r="619" ht="12.0" customHeight="1">
      <c r="O619" s="2"/>
    </row>
    <row r="620" ht="12.0" customHeight="1">
      <c r="O620" s="2"/>
    </row>
    <row r="621" ht="12.0" customHeight="1">
      <c r="O621" s="2"/>
    </row>
    <row r="622" ht="12.0" customHeight="1">
      <c r="O622" s="2"/>
    </row>
    <row r="623" ht="12.0" customHeight="1">
      <c r="O623" s="2"/>
    </row>
    <row r="624" ht="12.0" customHeight="1">
      <c r="O624" s="2"/>
    </row>
    <row r="625" ht="12.0" customHeight="1">
      <c r="O625" s="2"/>
    </row>
    <row r="626" ht="12.0" customHeight="1">
      <c r="O626" s="2"/>
    </row>
    <row r="627" ht="12.0" customHeight="1">
      <c r="O627" s="2"/>
    </row>
    <row r="628" ht="12.0" customHeight="1">
      <c r="O628" s="2"/>
    </row>
    <row r="629" ht="12.0" customHeight="1">
      <c r="O629" s="2"/>
    </row>
    <row r="630" ht="12.0" customHeight="1">
      <c r="O630" s="2"/>
    </row>
    <row r="631" ht="12.0" customHeight="1">
      <c r="O631" s="2"/>
    </row>
    <row r="632" ht="12.0" customHeight="1">
      <c r="O632" s="2"/>
    </row>
    <row r="633" ht="12.0" customHeight="1">
      <c r="O633" s="2"/>
    </row>
    <row r="634" ht="12.0" customHeight="1">
      <c r="O634" s="2"/>
    </row>
    <row r="635" ht="12.0" customHeight="1">
      <c r="O635" s="2"/>
    </row>
    <row r="636" ht="12.0" customHeight="1">
      <c r="O636" s="2"/>
    </row>
    <row r="637" ht="12.0" customHeight="1">
      <c r="O637" s="2"/>
    </row>
    <row r="638" ht="12.0" customHeight="1">
      <c r="O638" s="2"/>
    </row>
    <row r="639" ht="12.0" customHeight="1">
      <c r="O639" s="2"/>
    </row>
    <row r="640" ht="12.0" customHeight="1">
      <c r="O640" s="2"/>
    </row>
    <row r="641" ht="12.0" customHeight="1">
      <c r="O641" s="2"/>
    </row>
    <row r="642" ht="12.0" customHeight="1">
      <c r="O642" s="2"/>
    </row>
    <row r="643" ht="12.0" customHeight="1">
      <c r="O643" s="2"/>
    </row>
    <row r="644" ht="12.0" customHeight="1">
      <c r="O644" s="2"/>
    </row>
    <row r="645" ht="12.0" customHeight="1">
      <c r="O645" s="2"/>
    </row>
    <row r="646" ht="12.0" customHeight="1">
      <c r="O646" s="2"/>
    </row>
    <row r="647" ht="12.0" customHeight="1">
      <c r="O647" s="2"/>
    </row>
    <row r="648" ht="12.0" customHeight="1">
      <c r="O648" s="2"/>
    </row>
    <row r="649" ht="12.0" customHeight="1">
      <c r="O649" s="2"/>
    </row>
    <row r="650" ht="12.0" customHeight="1">
      <c r="O650" s="2"/>
    </row>
    <row r="651" ht="12.0" customHeight="1">
      <c r="O651" s="2"/>
    </row>
    <row r="652" ht="12.0" customHeight="1">
      <c r="O652" s="2"/>
    </row>
    <row r="653" ht="12.0" customHeight="1">
      <c r="O653" s="2"/>
    </row>
    <row r="654" ht="12.0" customHeight="1">
      <c r="O654" s="2"/>
    </row>
    <row r="655" ht="12.0" customHeight="1">
      <c r="O655" s="2"/>
    </row>
    <row r="656" ht="12.0" customHeight="1">
      <c r="O656" s="2"/>
    </row>
    <row r="657" ht="12.0" customHeight="1">
      <c r="O657" s="2"/>
    </row>
    <row r="658" ht="12.0" customHeight="1">
      <c r="O658" s="2"/>
    </row>
    <row r="659" ht="12.0" customHeight="1">
      <c r="O659" s="2"/>
    </row>
    <row r="660" ht="12.0" customHeight="1">
      <c r="O660" s="2"/>
    </row>
    <row r="661" ht="12.0" customHeight="1">
      <c r="O661" s="2"/>
    </row>
    <row r="662" ht="12.0" customHeight="1">
      <c r="O662" s="2"/>
    </row>
    <row r="663" ht="12.0" customHeight="1">
      <c r="O663" s="2"/>
    </row>
    <row r="664" ht="12.0" customHeight="1">
      <c r="O664" s="2"/>
    </row>
    <row r="665" ht="12.0" customHeight="1">
      <c r="O665" s="2"/>
    </row>
    <row r="666" ht="12.0" customHeight="1">
      <c r="O666" s="2"/>
    </row>
    <row r="667" ht="12.0" customHeight="1">
      <c r="O667" s="2"/>
    </row>
    <row r="668" ht="12.0" customHeight="1">
      <c r="O668" s="2"/>
    </row>
    <row r="669" ht="12.0" customHeight="1">
      <c r="O669" s="2"/>
    </row>
    <row r="670" ht="12.0" customHeight="1">
      <c r="O670" s="2"/>
    </row>
    <row r="671" ht="12.0" customHeight="1">
      <c r="O671" s="2"/>
    </row>
    <row r="672" ht="12.0" customHeight="1">
      <c r="O672" s="2"/>
    </row>
    <row r="673" ht="12.0" customHeight="1">
      <c r="O673" s="2"/>
    </row>
    <row r="674" ht="12.0" customHeight="1">
      <c r="O674" s="2"/>
    </row>
    <row r="675" ht="12.0" customHeight="1">
      <c r="O675" s="2"/>
    </row>
    <row r="676" ht="12.0" customHeight="1">
      <c r="O676" s="2"/>
    </row>
    <row r="677" ht="12.0" customHeight="1">
      <c r="O677" s="2"/>
    </row>
    <row r="678" ht="12.0" customHeight="1">
      <c r="O678" s="2"/>
    </row>
    <row r="679" ht="12.0" customHeight="1">
      <c r="O679" s="2"/>
    </row>
    <row r="680" ht="12.0" customHeight="1">
      <c r="O680" s="2"/>
    </row>
    <row r="681" ht="12.0" customHeight="1">
      <c r="O681" s="2"/>
    </row>
    <row r="682" ht="12.0" customHeight="1">
      <c r="O682" s="2"/>
    </row>
    <row r="683" ht="12.0" customHeight="1">
      <c r="O683" s="2"/>
    </row>
    <row r="684" ht="12.0" customHeight="1">
      <c r="O684" s="2"/>
    </row>
    <row r="685" ht="12.0" customHeight="1">
      <c r="O685" s="2"/>
    </row>
    <row r="686" ht="12.0" customHeight="1">
      <c r="O686" s="2"/>
    </row>
    <row r="687" ht="12.0" customHeight="1">
      <c r="O687" s="2"/>
    </row>
    <row r="688" ht="12.0" customHeight="1">
      <c r="O688" s="2"/>
    </row>
    <row r="689" ht="12.0" customHeight="1">
      <c r="O689" s="2"/>
    </row>
    <row r="690" ht="12.0" customHeight="1">
      <c r="O690" s="2"/>
    </row>
    <row r="691" ht="12.0" customHeight="1">
      <c r="O691" s="2"/>
    </row>
    <row r="692" ht="12.0" customHeight="1">
      <c r="O692" s="2"/>
    </row>
    <row r="693" ht="12.0" customHeight="1">
      <c r="O693" s="2"/>
    </row>
    <row r="694" ht="12.0" customHeight="1">
      <c r="O694" s="2"/>
    </row>
    <row r="695" ht="12.0" customHeight="1">
      <c r="O695" s="2"/>
    </row>
    <row r="696" ht="12.0" customHeight="1">
      <c r="O696" s="2"/>
    </row>
    <row r="697" ht="12.0" customHeight="1">
      <c r="O697" s="2"/>
    </row>
    <row r="698" ht="12.0" customHeight="1">
      <c r="O698" s="2"/>
    </row>
    <row r="699" ht="12.0" customHeight="1">
      <c r="O699" s="2"/>
    </row>
    <row r="700" ht="12.0" customHeight="1">
      <c r="O700" s="2"/>
    </row>
    <row r="701" ht="12.0" customHeight="1">
      <c r="O701" s="2"/>
    </row>
    <row r="702" ht="12.0" customHeight="1">
      <c r="O702" s="2"/>
    </row>
    <row r="703" ht="12.0" customHeight="1">
      <c r="O703" s="2"/>
    </row>
    <row r="704" ht="12.0" customHeight="1">
      <c r="O704" s="2"/>
    </row>
    <row r="705" ht="12.0" customHeight="1">
      <c r="O705" s="2"/>
    </row>
    <row r="706" ht="12.0" customHeight="1">
      <c r="O706" s="2"/>
    </row>
    <row r="707" ht="12.0" customHeight="1">
      <c r="O707" s="2"/>
    </row>
    <row r="708" ht="12.0" customHeight="1">
      <c r="O708" s="2"/>
    </row>
    <row r="709" ht="12.0" customHeight="1">
      <c r="O709" s="2"/>
    </row>
    <row r="710" ht="12.0" customHeight="1">
      <c r="O710" s="2"/>
    </row>
    <row r="711" ht="12.0" customHeight="1">
      <c r="O711" s="2"/>
    </row>
    <row r="712" ht="12.0" customHeight="1">
      <c r="O712" s="2"/>
    </row>
    <row r="713" ht="12.0" customHeight="1">
      <c r="O713" s="2"/>
    </row>
    <row r="714" ht="12.0" customHeight="1">
      <c r="O714" s="2"/>
    </row>
    <row r="715" ht="12.0" customHeight="1">
      <c r="O715" s="2"/>
    </row>
    <row r="716" ht="12.0" customHeight="1">
      <c r="O716" s="2"/>
    </row>
    <row r="717" ht="12.0" customHeight="1">
      <c r="O717" s="2"/>
    </row>
    <row r="718" ht="12.0" customHeight="1">
      <c r="O718" s="2"/>
    </row>
    <row r="719" ht="12.0" customHeight="1">
      <c r="O719" s="2"/>
    </row>
    <row r="720" ht="12.0" customHeight="1">
      <c r="O720" s="2"/>
    </row>
    <row r="721" ht="12.0" customHeight="1">
      <c r="O721" s="2"/>
    </row>
    <row r="722" ht="12.0" customHeight="1">
      <c r="O722" s="2"/>
    </row>
    <row r="723" ht="12.0" customHeight="1">
      <c r="O723" s="2"/>
    </row>
    <row r="724" ht="12.0" customHeight="1">
      <c r="O724" s="2"/>
    </row>
    <row r="725" ht="12.0" customHeight="1">
      <c r="O725" s="2"/>
    </row>
    <row r="726" ht="12.0" customHeight="1">
      <c r="O726" s="2"/>
    </row>
    <row r="727" ht="12.0" customHeight="1">
      <c r="O727" s="2"/>
    </row>
    <row r="728" ht="12.0" customHeight="1">
      <c r="O728" s="2"/>
    </row>
    <row r="729" ht="12.0" customHeight="1">
      <c r="O729" s="2"/>
    </row>
    <row r="730" ht="12.0" customHeight="1">
      <c r="O730" s="2"/>
    </row>
    <row r="731" ht="12.0" customHeight="1">
      <c r="O731" s="2"/>
    </row>
    <row r="732" ht="12.0" customHeight="1">
      <c r="O732" s="2"/>
    </row>
    <row r="733" ht="12.0" customHeight="1">
      <c r="O733" s="2"/>
    </row>
    <row r="734" ht="12.0" customHeight="1">
      <c r="O734" s="2"/>
    </row>
    <row r="735" ht="12.0" customHeight="1">
      <c r="O735" s="2"/>
    </row>
    <row r="736" ht="12.0" customHeight="1">
      <c r="O736" s="2"/>
    </row>
    <row r="737" ht="12.0" customHeight="1">
      <c r="O737" s="2"/>
    </row>
    <row r="738" ht="12.0" customHeight="1">
      <c r="O738" s="2"/>
    </row>
    <row r="739" ht="12.0" customHeight="1">
      <c r="O739" s="2"/>
    </row>
    <row r="740" ht="12.0" customHeight="1">
      <c r="O740" s="2"/>
    </row>
    <row r="741" ht="12.0" customHeight="1">
      <c r="O741" s="2"/>
    </row>
    <row r="742" ht="12.0" customHeight="1">
      <c r="O742" s="2"/>
    </row>
    <row r="743" ht="12.0" customHeight="1">
      <c r="O743" s="2"/>
    </row>
    <row r="744" ht="12.0" customHeight="1">
      <c r="O744" s="2"/>
    </row>
    <row r="745" ht="12.0" customHeight="1">
      <c r="O745" s="2"/>
    </row>
    <row r="746" ht="12.0" customHeight="1">
      <c r="O746" s="2"/>
    </row>
    <row r="747" ht="12.0" customHeight="1">
      <c r="O747" s="2"/>
    </row>
    <row r="748" ht="12.0" customHeight="1">
      <c r="O748" s="2"/>
    </row>
    <row r="749" ht="12.0" customHeight="1">
      <c r="O749" s="2"/>
    </row>
    <row r="750" ht="12.0" customHeight="1">
      <c r="O750" s="2"/>
    </row>
    <row r="751" ht="12.0" customHeight="1">
      <c r="O751" s="2"/>
    </row>
    <row r="752" ht="12.0" customHeight="1">
      <c r="O752" s="2"/>
    </row>
    <row r="753" ht="12.0" customHeight="1">
      <c r="O753" s="2"/>
    </row>
    <row r="754" ht="12.0" customHeight="1">
      <c r="O754" s="2"/>
    </row>
    <row r="755" ht="12.0" customHeight="1">
      <c r="O755" s="2"/>
    </row>
    <row r="756" ht="12.0" customHeight="1">
      <c r="O756" s="2"/>
    </row>
    <row r="757" ht="12.0" customHeight="1">
      <c r="O757" s="2"/>
    </row>
    <row r="758" ht="12.0" customHeight="1">
      <c r="O758" s="2"/>
    </row>
    <row r="759" ht="12.0" customHeight="1">
      <c r="O759" s="2"/>
    </row>
    <row r="760" ht="12.0" customHeight="1">
      <c r="O760" s="2"/>
    </row>
    <row r="761" ht="12.0" customHeight="1">
      <c r="O761" s="2"/>
    </row>
    <row r="762" ht="12.0" customHeight="1">
      <c r="O762" s="2"/>
    </row>
    <row r="763" ht="12.0" customHeight="1">
      <c r="O763" s="2"/>
    </row>
    <row r="764" ht="12.0" customHeight="1">
      <c r="O764" s="2"/>
    </row>
    <row r="765" ht="12.0" customHeight="1">
      <c r="O765" s="2"/>
    </row>
    <row r="766" ht="12.0" customHeight="1">
      <c r="O766" s="2"/>
    </row>
    <row r="767" ht="12.0" customHeight="1">
      <c r="O767" s="2"/>
    </row>
    <row r="768" ht="12.0" customHeight="1">
      <c r="O768" s="2"/>
    </row>
    <row r="769" ht="12.0" customHeight="1">
      <c r="O769" s="2"/>
    </row>
    <row r="770" ht="12.0" customHeight="1">
      <c r="O770" s="2"/>
    </row>
    <row r="771" ht="12.0" customHeight="1">
      <c r="O771" s="2"/>
    </row>
    <row r="772" ht="12.0" customHeight="1">
      <c r="O772" s="2"/>
    </row>
    <row r="773" ht="12.0" customHeight="1">
      <c r="O773" s="2"/>
    </row>
    <row r="774" ht="12.0" customHeight="1">
      <c r="O774" s="2"/>
    </row>
    <row r="775" ht="12.0" customHeight="1">
      <c r="O775" s="2"/>
    </row>
    <row r="776" ht="12.0" customHeight="1">
      <c r="O776" s="2"/>
    </row>
    <row r="777" ht="12.0" customHeight="1">
      <c r="O777" s="2"/>
    </row>
    <row r="778" ht="12.0" customHeight="1">
      <c r="O778" s="2"/>
    </row>
    <row r="779" ht="12.0" customHeight="1">
      <c r="O779" s="2"/>
    </row>
    <row r="780" ht="12.0" customHeight="1">
      <c r="O780" s="2"/>
    </row>
    <row r="781" ht="12.0" customHeight="1">
      <c r="O781" s="2"/>
    </row>
    <row r="782" ht="12.0" customHeight="1">
      <c r="O782" s="2"/>
    </row>
    <row r="783" ht="12.0" customHeight="1">
      <c r="O783" s="2"/>
    </row>
    <row r="784" ht="12.0" customHeight="1">
      <c r="O784" s="2"/>
    </row>
    <row r="785" ht="12.0" customHeight="1">
      <c r="O785" s="2"/>
    </row>
    <row r="786" ht="12.0" customHeight="1">
      <c r="O786" s="2"/>
    </row>
    <row r="787" ht="12.0" customHeight="1">
      <c r="O787" s="2"/>
    </row>
    <row r="788" ht="12.0" customHeight="1">
      <c r="O788" s="2"/>
    </row>
    <row r="789" ht="12.0" customHeight="1">
      <c r="O789" s="2"/>
    </row>
    <row r="790" ht="12.0" customHeight="1">
      <c r="O790" s="2"/>
    </row>
    <row r="791" ht="12.0" customHeight="1">
      <c r="O791" s="2"/>
    </row>
    <row r="792" ht="12.0" customHeight="1">
      <c r="O792" s="2"/>
    </row>
    <row r="793" ht="12.0" customHeight="1">
      <c r="O793" s="2"/>
    </row>
    <row r="794" ht="12.0" customHeight="1">
      <c r="O794" s="2"/>
    </row>
    <row r="795" ht="12.0" customHeight="1">
      <c r="O795" s="2"/>
    </row>
    <row r="796" ht="12.0" customHeight="1">
      <c r="O796" s="2"/>
    </row>
    <row r="797" ht="12.0" customHeight="1">
      <c r="O797" s="2"/>
    </row>
    <row r="798" ht="12.0" customHeight="1">
      <c r="O798" s="2"/>
    </row>
    <row r="799" ht="12.0" customHeight="1">
      <c r="O799" s="2"/>
    </row>
    <row r="800" ht="12.0" customHeight="1">
      <c r="O800" s="2"/>
    </row>
    <row r="801" ht="12.0" customHeight="1">
      <c r="O801" s="2"/>
    </row>
    <row r="802" ht="12.0" customHeight="1">
      <c r="O802" s="2"/>
    </row>
    <row r="803" ht="12.0" customHeight="1">
      <c r="O803" s="2"/>
    </row>
    <row r="804" ht="12.0" customHeight="1">
      <c r="O804" s="2"/>
    </row>
    <row r="805" ht="12.0" customHeight="1">
      <c r="O805" s="2"/>
    </row>
    <row r="806" ht="12.0" customHeight="1">
      <c r="O806" s="2"/>
    </row>
    <row r="807" ht="12.0" customHeight="1">
      <c r="O807" s="2"/>
    </row>
    <row r="808" ht="12.0" customHeight="1">
      <c r="O808" s="2"/>
    </row>
    <row r="809" ht="12.0" customHeight="1">
      <c r="O809" s="2"/>
    </row>
    <row r="810" ht="12.0" customHeight="1">
      <c r="O810" s="2"/>
    </row>
    <row r="811" ht="12.0" customHeight="1">
      <c r="O811" s="2"/>
    </row>
    <row r="812" ht="12.0" customHeight="1">
      <c r="O812" s="2"/>
    </row>
    <row r="813" ht="12.0" customHeight="1">
      <c r="O813" s="2"/>
    </row>
    <row r="814" ht="12.0" customHeight="1">
      <c r="O814" s="2"/>
    </row>
    <row r="815" ht="12.0" customHeight="1">
      <c r="O815" s="2"/>
    </row>
    <row r="816" ht="12.0" customHeight="1">
      <c r="O816" s="2"/>
    </row>
    <row r="817" ht="12.0" customHeight="1">
      <c r="O817" s="2"/>
    </row>
    <row r="818" ht="12.0" customHeight="1">
      <c r="O818" s="2"/>
    </row>
    <row r="819" ht="12.0" customHeight="1">
      <c r="O819" s="2"/>
    </row>
    <row r="820" ht="12.0" customHeight="1">
      <c r="O820" s="2"/>
    </row>
    <row r="821" ht="12.0" customHeight="1">
      <c r="O821" s="2"/>
    </row>
    <row r="822" ht="12.0" customHeight="1">
      <c r="O822" s="2"/>
    </row>
    <row r="823" ht="12.0" customHeight="1">
      <c r="O823" s="2"/>
    </row>
    <row r="824" ht="12.0" customHeight="1">
      <c r="O824" s="2"/>
    </row>
    <row r="825" ht="12.0" customHeight="1">
      <c r="O825" s="2"/>
    </row>
    <row r="826" ht="12.0" customHeight="1">
      <c r="O826" s="2"/>
    </row>
    <row r="827" ht="12.0" customHeight="1">
      <c r="O827" s="2"/>
    </row>
    <row r="828" ht="12.0" customHeight="1">
      <c r="O828" s="2"/>
    </row>
    <row r="829" ht="12.0" customHeight="1">
      <c r="O829" s="2"/>
    </row>
    <row r="830" ht="12.0" customHeight="1">
      <c r="O830" s="2"/>
    </row>
    <row r="831" ht="12.0" customHeight="1">
      <c r="O831" s="2"/>
    </row>
    <row r="832" ht="12.0" customHeight="1">
      <c r="O832" s="2"/>
    </row>
    <row r="833" ht="12.0" customHeight="1">
      <c r="O833" s="2"/>
    </row>
    <row r="834" ht="12.0" customHeight="1">
      <c r="O834" s="2"/>
    </row>
    <row r="835" ht="12.0" customHeight="1">
      <c r="O835" s="2"/>
    </row>
    <row r="836" ht="12.0" customHeight="1">
      <c r="O836" s="2"/>
    </row>
    <row r="837" ht="12.0" customHeight="1">
      <c r="O837" s="2"/>
    </row>
    <row r="838" ht="12.0" customHeight="1">
      <c r="O838" s="2"/>
    </row>
    <row r="839" ht="12.0" customHeight="1">
      <c r="O839" s="2"/>
    </row>
    <row r="840" ht="12.0" customHeight="1">
      <c r="O840" s="2"/>
    </row>
    <row r="841" ht="12.0" customHeight="1">
      <c r="O841" s="2"/>
    </row>
    <row r="842" ht="12.0" customHeight="1">
      <c r="O842" s="2"/>
    </row>
    <row r="843" ht="12.0" customHeight="1">
      <c r="O843" s="2"/>
    </row>
    <row r="844" ht="12.0" customHeight="1">
      <c r="O844" s="2"/>
    </row>
    <row r="845" ht="12.0" customHeight="1">
      <c r="O845" s="2"/>
    </row>
    <row r="846" ht="12.0" customHeight="1">
      <c r="O846" s="2"/>
    </row>
    <row r="847" ht="12.0" customHeight="1">
      <c r="O847" s="2"/>
    </row>
    <row r="848" ht="12.0" customHeight="1">
      <c r="O848" s="2"/>
    </row>
    <row r="849" ht="12.0" customHeight="1">
      <c r="O849" s="2"/>
    </row>
    <row r="850" ht="12.0" customHeight="1">
      <c r="O850" s="2"/>
    </row>
    <row r="851" ht="12.0" customHeight="1">
      <c r="O851" s="2"/>
    </row>
    <row r="852" ht="12.0" customHeight="1">
      <c r="O852" s="2"/>
    </row>
    <row r="853" ht="12.0" customHeight="1">
      <c r="O853" s="2"/>
    </row>
    <row r="854" ht="12.0" customHeight="1">
      <c r="O854" s="2"/>
    </row>
    <row r="855" ht="12.0" customHeight="1">
      <c r="O855" s="2"/>
    </row>
    <row r="856" ht="12.0" customHeight="1">
      <c r="O856" s="2"/>
    </row>
    <row r="857" ht="12.0" customHeight="1">
      <c r="O857" s="2"/>
    </row>
    <row r="858" ht="12.0" customHeight="1">
      <c r="O858" s="2"/>
    </row>
    <row r="859" ht="12.0" customHeight="1">
      <c r="O859" s="2"/>
    </row>
    <row r="860" ht="12.0" customHeight="1">
      <c r="O860" s="2"/>
    </row>
    <row r="861" ht="12.0" customHeight="1">
      <c r="O861" s="2"/>
    </row>
    <row r="862" ht="12.0" customHeight="1">
      <c r="O862" s="2"/>
    </row>
    <row r="863" ht="12.0" customHeight="1">
      <c r="O863" s="2"/>
    </row>
    <row r="864" ht="12.0" customHeight="1">
      <c r="O864" s="2"/>
    </row>
    <row r="865" ht="12.0" customHeight="1">
      <c r="O865" s="2"/>
    </row>
    <row r="866" ht="12.0" customHeight="1">
      <c r="O866" s="2"/>
    </row>
    <row r="867" ht="12.0" customHeight="1">
      <c r="O867" s="2"/>
    </row>
    <row r="868" ht="12.0" customHeight="1">
      <c r="O868" s="2"/>
    </row>
    <row r="869" ht="12.0" customHeight="1">
      <c r="O869" s="2"/>
    </row>
    <row r="870" ht="12.0" customHeight="1">
      <c r="O870" s="2"/>
    </row>
    <row r="871" ht="12.0" customHeight="1">
      <c r="O871" s="2"/>
    </row>
    <row r="872" ht="12.0" customHeight="1">
      <c r="O872" s="2"/>
    </row>
    <row r="873" ht="12.0" customHeight="1">
      <c r="O873" s="2"/>
    </row>
    <row r="874" ht="12.0" customHeight="1">
      <c r="O874" s="2"/>
    </row>
    <row r="875" ht="12.0" customHeight="1">
      <c r="O875" s="2"/>
    </row>
    <row r="876" ht="12.0" customHeight="1">
      <c r="O876" s="2"/>
    </row>
    <row r="877" ht="12.0" customHeight="1">
      <c r="O877" s="2"/>
    </row>
    <row r="878" ht="12.0" customHeight="1">
      <c r="O878" s="2"/>
    </row>
    <row r="879" ht="12.0" customHeight="1">
      <c r="O879" s="2"/>
    </row>
    <row r="880" ht="12.0" customHeight="1">
      <c r="O880" s="2"/>
    </row>
    <row r="881" ht="12.0" customHeight="1">
      <c r="O881" s="2"/>
    </row>
    <row r="882" ht="12.0" customHeight="1">
      <c r="O882" s="2"/>
    </row>
    <row r="883" ht="12.0" customHeight="1">
      <c r="O883" s="2"/>
    </row>
    <row r="884" ht="12.0" customHeight="1">
      <c r="O884" s="2"/>
    </row>
    <row r="885" ht="12.0" customHeight="1">
      <c r="O885" s="2"/>
    </row>
    <row r="886" ht="12.0" customHeight="1">
      <c r="O886" s="2"/>
    </row>
    <row r="887" ht="12.0" customHeight="1">
      <c r="O887" s="2"/>
    </row>
    <row r="888" ht="12.0" customHeight="1">
      <c r="O888" s="2"/>
    </row>
    <row r="889" ht="12.0" customHeight="1">
      <c r="O889" s="2"/>
    </row>
    <row r="890" ht="12.0" customHeight="1">
      <c r="O890" s="2"/>
    </row>
    <row r="891" ht="12.0" customHeight="1">
      <c r="O891" s="2"/>
    </row>
    <row r="892" ht="12.0" customHeight="1">
      <c r="O892" s="2"/>
    </row>
    <row r="893" ht="12.0" customHeight="1">
      <c r="O893" s="2"/>
    </row>
    <row r="894" ht="12.0" customHeight="1">
      <c r="O894" s="2"/>
    </row>
    <row r="895" ht="12.0" customHeight="1">
      <c r="O895" s="2"/>
    </row>
    <row r="896" ht="12.0" customHeight="1">
      <c r="O896" s="2"/>
    </row>
    <row r="897" ht="12.0" customHeight="1">
      <c r="O897" s="2"/>
    </row>
    <row r="898" ht="12.0" customHeight="1">
      <c r="O898" s="2"/>
    </row>
    <row r="899" ht="12.0" customHeight="1">
      <c r="O899" s="2"/>
    </row>
    <row r="900" ht="12.0" customHeight="1">
      <c r="O900" s="2"/>
    </row>
    <row r="901" ht="12.0" customHeight="1">
      <c r="O901" s="2"/>
    </row>
    <row r="902" ht="12.0" customHeight="1">
      <c r="O902" s="2"/>
    </row>
    <row r="903" ht="12.0" customHeight="1">
      <c r="O903" s="2"/>
    </row>
    <row r="904" ht="12.0" customHeight="1">
      <c r="O904" s="2"/>
    </row>
    <row r="905" ht="12.0" customHeight="1">
      <c r="O905" s="2"/>
    </row>
    <row r="906" ht="12.0" customHeight="1">
      <c r="O906" s="2"/>
    </row>
    <row r="907" ht="12.0" customHeight="1">
      <c r="O907" s="2"/>
    </row>
    <row r="908" ht="12.0" customHeight="1">
      <c r="O908" s="2"/>
    </row>
    <row r="909" ht="12.0" customHeight="1">
      <c r="O909" s="2"/>
    </row>
    <row r="910" ht="12.0" customHeight="1">
      <c r="O910" s="2"/>
    </row>
    <row r="911" ht="12.0" customHeight="1">
      <c r="O911" s="2"/>
    </row>
    <row r="912" ht="12.0" customHeight="1">
      <c r="O912" s="2"/>
    </row>
    <row r="913" ht="12.0" customHeight="1">
      <c r="O913" s="2"/>
    </row>
    <row r="914" ht="12.0" customHeight="1">
      <c r="O914" s="2"/>
    </row>
    <row r="915" ht="12.0" customHeight="1">
      <c r="O915" s="2"/>
    </row>
    <row r="916" ht="12.0" customHeight="1">
      <c r="O916" s="2"/>
    </row>
    <row r="917" ht="12.0" customHeight="1">
      <c r="O917" s="2"/>
    </row>
    <row r="918" ht="12.0" customHeight="1">
      <c r="O918" s="2"/>
    </row>
    <row r="919" ht="12.0" customHeight="1">
      <c r="O919" s="2"/>
    </row>
    <row r="920" ht="12.0" customHeight="1">
      <c r="O920" s="2"/>
    </row>
    <row r="921" ht="12.0" customHeight="1">
      <c r="O921" s="2"/>
    </row>
    <row r="922" ht="12.0" customHeight="1">
      <c r="O922" s="2"/>
    </row>
    <row r="923" ht="12.0" customHeight="1">
      <c r="O923" s="2"/>
    </row>
    <row r="924" ht="12.0" customHeight="1">
      <c r="O924" s="2"/>
    </row>
    <row r="925" ht="12.0" customHeight="1">
      <c r="O925" s="2"/>
    </row>
    <row r="926" ht="12.0" customHeight="1">
      <c r="O926" s="2"/>
    </row>
    <row r="927" ht="12.0" customHeight="1">
      <c r="O927" s="2"/>
    </row>
    <row r="928" ht="12.0" customHeight="1">
      <c r="O928" s="2"/>
    </row>
    <row r="929" ht="12.0" customHeight="1">
      <c r="O929" s="2"/>
    </row>
    <row r="930" ht="12.0" customHeight="1">
      <c r="O930" s="2"/>
    </row>
    <row r="931" ht="12.0" customHeight="1">
      <c r="O931" s="2"/>
    </row>
    <row r="932" ht="12.0" customHeight="1">
      <c r="O932" s="2"/>
    </row>
    <row r="933" ht="12.0" customHeight="1">
      <c r="O933" s="2"/>
    </row>
    <row r="934" ht="12.0" customHeight="1">
      <c r="O934" s="2"/>
    </row>
    <row r="935" ht="12.0" customHeight="1">
      <c r="O935" s="2"/>
    </row>
    <row r="936" ht="12.0" customHeight="1">
      <c r="O936" s="2"/>
    </row>
    <row r="937" ht="12.0" customHeight="1">
      <c r="O937" s="2"/>
    </row>
    <row r="938" ht="12.0" customHeight="1">
      <c r="O938" s="2"/>
    </row>
    <row r="939" ht="12.0" customHeight="1">
      <c r="O939" s="2"/>
    </row>
    <row r="940" ht="12.0" customHeight="1">
      <c r="O940" s="2"/>
    </row>
    <row r="941" ht="12.0" customHeight="1">
      <c r="O941" s="2"/>
    </row>
    <row r="942" ht="12.0" customHeight="1">
      <c r="O942" s="2"/>
    </row>
    <row r="943" ht="12.0" customHeight="1">
      <c r="O943" s="2"/>
    </row>
    <row r="944" ht="12.0" customHeight="1">
      <c r="O944" s="2"/>
    </row>
    <row r="945" ht="12.0" customHeight="1">
      <c r="O945" s="2"/>
    </row>
    <row r="946" ht="12.0" customHeight="1">
      <c r="O946" s="2"/>
    </row>
    <row r="947" ht="12.0" customHeight="1">
      <c r="O947" s="2"/>
    </row>
    <row r="948" ht="12.0" customHeight="1">
      <c r="O948" s="2"/>
    </row>
    <row r="949" ht="12.0" customHeight="1">
      <c r="O949" s="2"/>
    </row>
    <row r="950" ht="12.0" customHeight="1">
      <c r="O950" s="2"/>
    </row>
    <row r="951" ht="12.0" customHeight="1">
      <c r="O951" s="2"/>
    </row>
    <row r="952" ht="12.0" customHeight="1">
      <c r="O952" s="2"/>
    </row>
    <row r="953" ht="12.0" customHeight="1">
      <c r="O953" s="2"/>
    </row>
    <row r="954" ht="12.0" customHeight="1">
      <c r="O954" s="2"/>
    </row>
    <row r="955" ht="12.0" customHeight="1">
      <c r="O955" s="2"/>
    </row>
    <row r="956" ht="12.0" customHeight="1">
      <c r="O956" s="2"/>
    </row>
    <row r="957" ht="12.0" customHeight="1">
      <c r="O957" s="2"/>
    </row>
    <row r="958" ht="12.0" customHeight="1">
      <c r="O958" s="2"/>
    </row>
    <row r="959" ht="12.0" customHeight="1">
      <c r="O959" s="2"/>
    </row>
    <row r="960" ht="12.0" customHeight="1">
      <c r="O960" s="2"/>
    </row>
    <row r="961" ht="12.0" customHeight="1">
      <c r="O961" s="2"/>
    </row>
    <row r="962" ht="12.0" customHeight="1">
      <c r="O962" s="2"/>
    </row>
    <row r="963" ht="12.0" customHeight="1">
      <c r="O963" s="2"/>
    </row>
    <row r="964" ht="12.0" customHeight="1">
      <c r="O964" s="2"/>
    </row>
    <row r="965" ht="12.0" customHeight="1">
      <c r="O965" s="2"/>
    </row>
    <row r="966" ht="12.0" customHeight="1">
      <c r="O966" s="2"/>
    </row>
    <row r="967" ht="12.0" customHeight="1">
      <c r="O967" s="2"/>
    </row>
    <row r="968" ht="12.0" customHeight="1">
      <c r="O968" s="2"/>
    </row>
    <row r="969" ht="12.0" customHeight="1">
      <c r="O969" s="2"/>
    </row>
    <row r="970" ht="12.0" customHeight="1">
      <c r="O970" s="2"/>
    </row>
    <row r="971" ht="12.0" customHeight="1">
      <c r="O971" s="2"/>
    </row>
    <row r="972" ht="12.0" customHeight="1">
      <c r="O972" s="2"/>
    </row>
    <row r="973" ht="12.0" customHeight="1">
      <c r="O973" s="2"/>
    </row>
    <row r="974" ht="12.0" customHeight="1">
      <c r="O974" s="2"/>
    </row>
    <row r="975" ht="12.0" customHeight="1">
      <c r="O975" s="2"/>
    </row>
    <row r="976" ht="12.0" customHeight="1">
      <c r="O976" s="2"/>
    </row>
    <row r="977" ht="12.0" customHeight="1">
      <c r="O977" s="2"/>
    </row>
    <row r="978" ht="12.0" customHeight="1">
      <c r="O978" s="2"/>
    </row>
    <row r="979" ht="12.0" customHeight="1">
      <c r="O979" s="2"/>
    </row>
    <row r="980" ht="12.0" customHeight="1">
      <c r="O980" s="2"/>
    </row>
    <row r="981" ht="12.0" customHeight="1">
      <c r="O981" s="2"/>
    </row>
    <row r="982" ht="12.0" customHeight="1">
      <c r="O982" s="2"/>
    </row>
    <row r="983" ht="12.0" customHeight="1">
      <c r="O983" s="2"/>
    </row>
    <row r="984" ht="12.0" customHeight="1">
      <c r="O984" s="2"/>
    </row>
    <row r="985" ht="12.0" customHeight="1">
      <c r="O985" s="2"/>
    </row>
    <row r="986" ht="12.0" customHeight="1">
      <c r="O986" s="2"/>
    </row>
    <row r="987" ht="12.0" customHeight="1">
      <c r="O987" s="2"/>
    </row>
    <row r="988" ht="12.0" customHeight="1">
      <c r="O988" s="2"/>
    </row>
    <row r="989" ht="12.0" customHeight="1">
      <c r="O989" s="2"/>
    </row>
    <row r="990" ht="12.0" customHeight="1">
      <c r="O990" s="2"/>
    </row>
    <row r="991" ht="12.0" customHeight="1">
      <c r="O991" s="2"/>
    </row>
    <row r="992" ht="12.0" customHeight="1">
      <c r="O992" s="2"/>
    </row>
    <row r="993" ht="12.0" customHeight="1">
      <c r="O993" s="2"/>
    </row>
    <row r="994" ht="12.0" customHeight="1">
      <c r="O994" s="2"/>
    </row>
    <row r="995" ht="12.0" customHeight="1">
      <c r="O995" s="2"/>
    </row>
    <row r="996" ht="12.0" customHeight="1">
      <c r="O996" s="2"/>
    </row>
    <row r="997" ht="12.0" customHeight="1">
      <c r="O997" s="2"/>
    </row>
    <row r="998" ht="12.0" customHeight="1">
      <c r="O998" s="2"/>
    </row>
    <row r="999" ht="12.0" customHeight="1">
      <c r="O999" s="2"/>
    </row>
    <row r="1000" ht="12.0" customHeight="1">
      <c r="O1000" s="2"/>
    </row>
  </sheetData>
  <printOptions/>
  <pageMargins bottom="0.984251968503937" footer="0.0" header="0.0" left="0.7480314960629921" right="0.7480314960629921" top="0.984251968503937"/>
  <pageSetup paperSize="9"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29.13"/>
    <col customWidth="1" min="3" max="3" width="12.38"/>
    <col customWidth="1" min="4" max="26" width="8.88"/>
  </cols>
  <sheetData>
    <row r="1" ht="12.0" customHeight="1">
      <c r="A1" s="32" t="s">
        <v>41</v>
      </c>
      <c r="B1" s="2"/>
      <c r="C1" s="2"/>
      <c r="D1" s="2"/>
      <c r="E1" s="2"/>
      <c r="F1" s="2"/>
      <c r="G1" s="2"/>
      <c r="H1" s="2"/>
      <c r="I1" s="2"/>
      <c r="J1" s="2"/>
      <c r="K1" s="2"/>
      <c r="L1" s="2"/>
      <c r="M1" s="2"/>
      <c r="N1" s="2"/>
      <c r="O1" s="2"/>
      <c r="P1" s="2"/>
      <c r="Q1" s="2"/>
      <c r="R1" s="2"/>
      <c r="S1" s="2"/>
      <c r="T1" s="2"/>
      <c r="U1" s="2"/>
      <c r="V1" s="2"/>
      <c r="W1" s="2"/>
      <c r="X1" s="2"/>
      <c r="Y1" s="2"/>
      <c r="Z1" s="2"/>
    </row>
    <row r="2" ht="12.0" customHeight="1">
      <c r="A2" s="2" t="s">
        <v>42</v>
      </c>
      <c r="B2" s="2"/>
      <c r="C2" s="2"/>
      <c r="D2" s="2"/>
      <c r="E2" s="2"/>
      <c r="F2" s="2"/>
      <c r="G2" s="2"/>
      <c r="H2" s="2"/>
      <c r="I2" s="2"/>
      <c r="J2" s="2"/>
      <c r="K2" s="2"/>
      <c r="L2" s="2"/>
      <c r="M2" s="2"/>
      <c r="N2" s="2"/>
      <c r="O2" s="2"/>
      <c r="P2" s="2"/>
      <c r="Q2" s="2"/>
      <c r="R2" s="2"/>
      <c r="S2" s="2"/>
      <c r="T2" s="2"/>
      <c r="U2" s="2"/>
      <c r="V2" s="2"/>
      <c r="W2" s="2"/>
      <c r="X2" s="2"/>
      <c r="Y2" s="2"/>
      <c r="Z2" s="2"/>
    </row>
    <row r="3" ht="12.0" customHeight="1">
      <c r="A3" s="2" t="s">
        <v>120</v>
      </c>
      <c r="B3" s="2"/>
      <c r="C3" s="2"/>
      <c r="D3" s="2"/>
      <c r="E3" s="2"/>
      <c r="F3" s="2"/>
      <c r="G3" s="2"/>
      <c r="H3" s="2"/>
      <c r="I3" s="2"/>
      <c r="J3" s="2"/>
      <c r="K3" s="2"/>
      <c r="L3" s="2"/>
      <c r="M3" s="2"/>
      <c r="N3" s="2"/>
      <c r="O3" s="2"/>
      <c r="P3" s="2"/>
      <c r="Q3" s="2"/>
      <c r="R3" s="2"/>
      <c r="S3" s="2"/>
      <c r="T3" s="2"/>
      <c r="U3" s="2"/>
      <c r="V3" s="2"/>
      <c r="W3" s="2"/>
      <c r="X3" s="2"/>
      <c r="Y3" s="2"/>
      <c r="Z3" s="2"/>
    </row>
    <row r="4" ht="12.0" customHeight="1">
      <c r="A4" s="2" t="s">
        <v>121</v>
      </c>
      <c r="B4" s="2"/>
      <c r="C4" s="2"/>
      <c r="D4" s="2"/>
      <c r="E4" s="2"/>
      <c r="F4" s="2"/>
      <c r="G4" s="2"/>
      <c r="H4" s="2"/>
      <c r="I4" s="2"/>
      <c r="J4" s="2"/>
      <c r="K4" s="2"/>
      <c r="L4" s="2"/>
      <c r="M4" s="2"/>
      <c r="N4" s="2"/>
      <c r="O4" s="2"/>
      <c r="P4" s="2"/>
      <c r="Q4" s="2"/>
      <c r="R4" s="2"/>
      <c r="S4" s="2"/>
      <c r="T4" s="2"/>
      <c r="U4" s="2"/>
      <c r="V4" s="2"/>
      <c r="W4" s="2"/>
      <c r="X4" s="2"/>
      <c r="Y4" s="2"/>
      <c r="Z4" s="2"/>
    </row>
    <row r="5" ht="12.0" customHeight="1">
      <c r="A5" s="68" t="s">
        <v>122</v>
      </c>
      <c r="B5" s="1"/>
      <c r="C5" s="1"/>
      <c r="D5" s="1"/>
      <c r="E5" s="1"/>
      <c r="F5" s="1"/>
      <c r="G5" s="1"/>
      <c r="H5" s="1"/>
      <c r="I5" s="1"/>
      <c r="J5" s="1"/>
      <c r="K5" s="1"/>
      <c r="L5" s="1"/>
      <c r="M5" s="1"/>
      <c r="N5" s="1"/>
    </row>
    <row r="6" ht="12.0" customHeight="1">
      <c r="A6" s="69" t="s">
        <v>44</v>
      </c>
      <c r="B6" s="70"/>
      <c r="C6" s="34">
        <v>43466.0</v>
      </c>
      <c r="D6" s="34">
        <f>DATE(YEAR(C6),MONTH(C6)+1,1)</f>
        <v>43497</v>
      </c>
      <c r="E6" s="34">
        <f>DATE(YEAR(C6),MONTH(C6)+2,1)</f>
        <v>43525</v>
      </c>
      <c r="F6" s="34">
        <f>DATE(YEAR(C6),MONTH(C6)+3,1)</f>
        <v>43556</v>
      </c>
      <c r="G6" s="34">
        <f>DATE(YEAR(C6),MONTH(C6)+4,1)</f>
        <v>43586</v>
      </c>
      <c r="H6" s="34">
        <f>DATE(YEAR(C6),MONTH(C6)+5,1)</f>
        <v>43617</v>
      </c>
      <c r="I6" s="34">
        <f>DATE(YEAR(C6),MONTH(C6)+6,1)</f>
        <v>43647</v>
      </c>
      <c r="J6" s="34">
        <f>DATE(YEAR(C6),MONTH(C6)+7,1)</f>
        <v>43678</v>
      </c>
      <c r="K6" s="34">
        <f>DATE(YEAR(C6),MONTH(C6)+8,1)</f>
        <v>43709</v>
      </c>
      <c r="L6" s="34">
        <f>DATE(YEAR(C6),MONTH(C6)+9,1)</f>
        <v>43739</v>
      </c>
      <c r="M6" s="34">
        <f>DATE(YEAR(C6),MONTH(C6)+10,1)</f>
        <v>43770</v>
      </c>
      <c r="N6" s="35">
        <f>DATE(YEAR(C6),MONTH(C6)+11,1)</f>
        <v>43800</v>
      </c>
      <c r="O6" s="2"/>
    </row>
    <row r="7" ht="12.0" customHeight="1">
      <c r="A7" s="71" t="s">
        <v>6</v>
      </c>
      <c r="B7" s="72"/>
      <c r="C7" s="72"/>
      <c r="D7" s="72"/>
      <c r="E7" s="72"/>
      <c r="F7" s="72"/>
      <c r="G7" s="72"/>
      <c r="H7" s="72"/>
      <c r="I7" s="72"/>
      <c r="J7" s="72"/>
      <c r="K7" s="72"/>
      <c r="L7" s="72"/>
      <c r="M7" s="72"/>
      <c r="N7" s="72"/>
      <c r="O7" s="2"/>
    </row>
    <row r="8" ht="15.0" customHeight="1">
      <c r="A8" s="73"/>
      <c r="B8" s="45" t="s">
        <v>49</v>
      </c>
      <c r="C8" s="74">
        <f>'Detailed P&amp;L'!B11</f>
        <v>0</v>
      </c>
      <c r="D8" s="74">
        <f>'Detailed P&amp;L'!C11</f>
        <v>0</v>
      </c>
      <c r="E8" s="74">
        <f>'Detailed P&amp;L'!D11</f>
        <v>0</v>
      </c>
      <c r="F8" s="74">
        <f>'Detailed P&amp;L'!E11</f>
        <v>0</v>
      </c>
      <c r="G8" s="74">
        <f>'Detailed P&amp;L'!F11</f>
        <v>0</v>
      </c>
      <c r="H8" s="74">
        <f>'Detailed P&amp;L'!G11</f>
        <v>0</v>
      </c>
      <c r="I8" s="74">
        <f>'Detailed P&amp;L'!H11</f>
        <v>0</v>
      </c>
      <c r="J8" s="74">
        <f>'Detailed P&amp;L'!I11</f>
        <v>0</v>
      </c>
      <c r="K8" s="74">
        <f>'Detailed P&amp;L'!J11</f>
        <v>0</v>
      </c>
      <c r="L8" s="74">
        <f>'Detailed P&amp;L'!K11</f>
        <v>0</v>
      </c>
      <c r="M8" s="74">
        <f>'Detailed P&amp;L'!L11</f>
        <v>0</v>
      </c>
      <c r="N8" s="74">
        <f>'Detailed P&amp;L'!M11</f>
        <v>0</v>
      </c>
      <c r="O8" s="2"/>
    </row>
    <row r="9" ht="12.0" customHeight="1">
      <c r="A9" s="75"/>
      <c r="B9" s="48" t="s">
        <v>123</v>
      </c>
      <c r="C9" s="74">
        <f>'Detailed P&amp;L'!B15</f>
        <v>0</v>
      </c>
      <c r="D9" s="74">
        <f>'Detailed P&amp;L'!C15</f>
        <v>0</v>
      </c>
      <c r="E9" s="74">
        <f>'Detailed P&amp;L'!D15</f>
        <v>0</v>
      </c>
      <c r="F9" s="74">
        <f>'Detailed P&amp;L'!E15</f>
        <v>0</v>
      </c>
      <c r="G9" s="74">
        <f>'Detailed P&amp;L'!F15</f>
        <v>0</v>
      </c>
      <c r="H9" s="74">
        <f>'Detailed P&amp;L'!G15</f>
        <v>0</v>
      </c>
      <c r="I9" s="74">
        <f>'Detailed P&amp;L'!H15</f>
        <v>0</v>
      </c>
      <c r="J9" s="74">
        <f>'Detailed P&amp;L'!I15</f>
        <v>0</v>
      </c>
      <c r="K9" s="74">
        <f>'Detailed P&amp;L'!J15</f>
        <v>0</v>
      </c>
      <c r="L9" s="74">
        <f>'Detailed P&amp;L'!K15</f>
        <v>0</v>
      </c>
      <c r="M9" s="74">
        <f>'Detailed P&amp;L'!L15</f>
        <v>0</v>
      </c>
      <c r="N9" s="74">
        <f>'Detailed P&amp;L'!M15</f>
        <v>0</v>
      </c>
      <c r="O9" s="2"/>
    </row>
    <row r="10" ht="12.0" customHeight="1">
      <c r="B10" s="57" t="s">
        <v>54</v>
      </c>
      <c r="C10" s="76">
        <f>'Detailed P&amp;L'!B16</f>
        <v>0</v>
      </c>
      <c r="D10" s="76">
        <f>'Detailed P&amp;L'!C16</f>
        <v>0</v>
      </c>
      <c r="E10" s="76">
        <f>'Detailed P&amp;L'!D16</f>
        <v>0</v>
      </c>
      <c r="F10" s="76">
        <f>'Detailed P&amp;L'!E16</f>
        <v>0</v>
      </c>
      <c r="G10" s="76">
        <f>'Detailed P&amp;L'!F16</f>
        <v>0</v>
      </c>
      <c r="H10" s="76">
        <f>'Detailed P&amp;L'!G16</f>
        <v>0</v>
      </c>
      <c r="I10" s="76">
        <f>'Detailed P&amp;L'!H16</f>
        <v>0</v>
      </c>
      <c r="J10" s="76">
        <f>'Detailed P&amp;L'!I16</f>
        <v>0</v>
      </c>
      <c r="K10" s="76">
        <f>'Detailed P&amp;L'!J16</f>
        <v>0</v>
      </c>
      <c r="L10" s="76">
        <f>'Detailed P&amp;L'!K16</f>
        <v>0</v>
      </c>
      <c r="M10" s="76">
        <f>'Detailed P&amp;L'!L16</f>
        <v>0</v>
      </c>
      <c r="N10" s="76">
        <f>'Detailed P&amp;L'!M16</f>
        <v>0</v>
      </c>
      <c r="O10" s="2"/>
    </row>
    <row r="11" ht="12.0" customHeight="1">
      <c r="B11" s="77" t="s">
        <v>124</v>
      </c>
      <c r="C11" s="74">
        <f>'Detailed P&amp;L'!B22</f>
        <v>0</v>
      </c>
      <c r="D11" s="74">
        <f>'Detailed P&amp;L'!C22</f>
        <v>0</v>
      </c>
      <c r="E11" s="74">
        <f>'Detailed P&amp;L'!D22</f>
        <v>0</v>
      </c>
      <c r="F11" s="74">
        <f>'Detailed P&amp;L'!E22</f>
        <v>0</v>
      </c>
      <c r="G11" s="74">
        <f>'Detailed P&amp;L'!F22</f>
        <v>0</v>
      </c>
      <c r="H11" s="74">
        <f>'Detailed P&amp;L'!G22</f>
        <v>0</v>
      </c>
      <c r="I11" s="74">
        <f>'Detailed P&amp;L'!H22</f>
        <v>0</v>
      </c>
      <c r="J11" s="74">
        <f>'Detailed P&amp;L'!I22</f>
        <v>0</v>
      </c>
      <c r="K11" s="74">
        <f>'Detailed P&amp;L'!J22</f>
        <v>0</v>
      </c>
      <c r="L11" s="74">
        <f>'Detailed P&amp;L'!K22</f>
        <v>0</v>
      </c>
      <c r="M11" s="74">
        <f>'Detailed P&amp;L'!L22</f>
        <v>0</v>
      </c>
      <c r="N11" s="74">
        <f>'Detailed P&amp;L'!M22</f>
        <v>0</v>
      </c>
      <c r="O11" s="2"/>
    </row>
    <row r="12" ht="12.0" customHeight="1">
      <c r="B12" s="57" t="s">
        <v>17</v>
      </c>
      <c r="C12" s="76">
        <f>'Detailed P&amp;L'!B24</f>
        <v>0</v>
      </c>
      <c r="D12" s="76">
        <f>'Detailed P&amp;L'!C24</f>
        <v>0</v>
      </c>
      <c r="E12" s="76">
        <f>'Detailed P&amp;L'!D24</f>
        <v>0</v>
      </c>
      <c r="F12" s="76">
        <f>'Detailed P&amp;L'!E24</f>
        <v>0</v>
      </c>
      <c r="G12" s="76">
        <f>'Detailed P&amp;L'!F24</f>
        <v>0</v>
      </c>
      <c r="H12" s="76">
        <f>'Detailed P&amp;L'!G24</f>
        <v>0</v>
      </c>
      <c r="I12" s="76">
        <f>'Detailed P&amp;L'!H24</f>
        <v>0</v>
      </c>
      <c r="J12" s="76">
        <f>'Detailed P&amp;L'!I24</f>
        <v>0</v>
      </c>
      <c r="K12" s="76">
        <f>'Detailed P&amp;L'!J24</f>
        <v>0</v>
      </c>
      <c r="L12" s="76">
        <f>'Detailed P&amp;L'!K24</f>
        <v>0</v>
      </c>
      <c r="M12" s="76">
        <f>'Detailed P&amp;L'!L24</f>
        <v>0</v>
      </c>
      <c r="N12" s="76">
        <f>'Detailed P&amp;L'!M24</f>
        <v>0</v>
      </c>
      <c r="O12" s="2"/>
    </row>
    <row r="13" ht="12.0" customHeight="1">
      <c r="B13" s="71" t="s">
        <v>58</v>
      </c>
      <c r="C13" s="78" t="s">
        <v>45</v>
      </c>
      <c r="D13" s="78" t="s">
        <v>45</v>
      </c>
      <c r="E13" s="78" t="s">
        <v>45</v>
      </c>
      <c r="F13" s="78" t="s">
        <v>45</v>
      </c>
      <c r="G13" s="78" t="s">
        <v>45</v>
      </c>
      <c r="H13" s="78" t="s">
        <v>45</v>
      </c>
      <c r="I13" s="78" t="s">
        <v>45</v>
      </c>
      <c r="J13" s="78" t="s">
        <v>45</v>
      </c>
      <c r="K13" s="78" t="s">
        <v>45</v>
      </c>
      <c r="L13" s="78" t="s">
        <v>45</v>
      </c>
      <c r="M13" s="78" t="s">
        <v>45</v>
      </c>
      <c r="N13" s="78" t="s">
        <v>45</v>
      </c>
      <c r="O13" s="2"/>
    </row>
    <row r="14" ht="12.0" customHeight="1">
      <c r="A14" s="2"/>
      <c r="B14" s="79" t="s">
        <v>59</v>
      </c>
      <c r="C14" s="80">
        <f>'Detailed P&amp;L'!B34</f>
        <v>0</v>
      </c>
      <c r="D14" s="80">
        <f>'Detailed P&amp;L'!C34</f>
        <v>0</v>
      </c>
      <c r="E14" s="80">
        <f>'Detailed P&amp;L'!D34</f>
        <v>0</v>
      </c>
      <c r="F14" s="80">
        <f>'Detailed P&amp;L'!E34</f>
        <v>0</v>
      </c>
      <c r="G14" s="80">
        <f>'Detailed P&amp;L'!F34</f>
        <v>0</v>
      </c>
      <c r="H14" s="80">
        <f>'Detailed P&amp;L'!G34</f>
        <v>0</v>
      </c>
      <c r="I14" s="80">
        <f>'Detailed P&amp;L'!H34</f>
        <v>0</v>
      </c>
      <c r="J14" s="80">
        <f>'Detailed P&amp;L'!I34</f>
        <v>0</v>
      </c>
      <c r="K14" s="80">
        <f>'Detailed P&amp;L'!J34</f>
        <v>0</v>
      </c>
      <c r="L14" s="80">
        <f>'Detailed P&amp;L'!K34</f>
        <v>0</v>
      </c>
      <c r="M14" s="80">
        <f>'Detailed P&amp;L'!L34</f>
        <v>0</v>
      </c>
      <c r="N14" s="80">
        <f>'Detailed P&amp;L'!M34</f>
        <v>0</v>
      </c>
      <c r="O14" s="2"/>
    </row>
    <row r="15" ht="12.0" customHeight="1">
      <c r="A15" s="2"/>
      <c r="B15" s="79" t="s">
        <v>67</v>
      </c>
      <c r="C15" s="74">
        <f>'Detailed P&amp;L'!B40</f>
        <v>0</v>
      </c>
      <c r="D15" s="74">
        <f>'Detailed P&amp;L'!C40</f>
        <v>0</v>
      </c>
      <c r="E15" s="74">
        <f>'Detailed P&amp;L'!D40</f>
        <v>0</v>
      </c>
      <c r="F15" s="74">
        <f>'Detailed P&amp;L'!E40</f>
        <v>0</v>
      </c>
      <c r="G15" s="74">
        <f>'Detailed P&amp;L'!F40</f>
        <v>0</v>
      </c>
      <c r="H15" s="74">
        <f>'Detailed P&amp;L'!G40</f>
        <v>0</v>
      </c>
      <c r="I15" s="74">
        <f>'Detailed P&amp;L'!H40</f>
        <v>0</v>
      </c>
      <c r="J15" s="74">
        <f>'Detailed P&amp;L'!I40</f>
        <v>0</v>
      </c>
      <c r="K15" s="74">
        <f>'Detailed P&amp;L'!J40</f>
        <v>0</v>
      </c>
      <c r="L15" s="74">
        <f>'Detailed P&amp;L'!K40</f>
        <v>0</v>
      </c>
      <c r="M15" s="74">
        <f>'Detailed P&amp;L'!L40</f>
        <v>0</v>
      </c>
      <c r="N15" s="74">
        <f>'Detailed P&amp;L'!M40</f>
        <v>0</v>
      </c>
      <c r="O15" s="2"/>
    </row>
    <row r="16" ht="12.0" customHeight="1">
      <c r="A16" s="2"/>
      <c r="B16" s="79" t="s">
        <v>71</v>
      </c>
      <c r="C16" s="74">
        <f>'Detailed P&amp;L'!B51</f>
        <v>0</v>
      </c>
      <c r="D16" s="74">
        <f>'Detailed P&amp;L'!C51</f>
        <v>0</v>
      </c>
      <c r="E16" s="74">
        <f>'Detailed P&amp;L'!D51</f>
        <v>0</v>
      </c>
      <c r="F16" s="74">
        <f>'Detailed P&amp;L'!E51</f>
        <v>0</v>
      </c>
      <c r="G16" s="74">
        <f>'Detailed P&amp;L'!F51</f>
        <v>0</v>
      </c>
      <c r="H16" s="74">
        <f>'Detailed P&amp;L'!G51</f>
        <v>0</v>
      </c>
      <c r="I16" s="74">
        <f>'Detailed P&amp;L'!H51</f>
        <v>0</v>
      </c>
      <c r="J16" s="74">
        <f>'Detailed P&amp;L'!I51</f>
        <v>0</v>
      </c>
      <c r="K16" s="74">
        <f>'Detailed P&amp;L'!J51</f>
        <v>0</v>
      </c>
      <c r="L16" s="74">
        <f>'Detailed P&amp;L'!K51</f>
        <v>0</v>
      </c>
      <c r="M16" s="74">
        <f>'Detailed P&amp;L'!L51</f>
        <v>0</v>
      </c>
      <c r="N16" s="74">
        <f>'Detailed P&amp;L'!M51</f>
        <v>0</v>
      </c>
      <c r="O16" s="2"/>
    </row>
    <row r="17" ht="12.0" customHeight="1">
      <c r="A17" s="2"/>
      <c r="B17" s="79" t="s">
        <v>81</v>
      </c>
      <c r="C17" s="74">
        <f>'Detailed P&amp;L'!B58</f>
        <v>0</v>
      </c>
      <c r="D17" s="74">
        <f>'Detailed P&amp;L'!C58</f>
        <v>0</v>
      </c>
      <c r="E17" s="74">
        <f>'Detailed P&amp;L'!D58</f>
        <v>0</v>
      </c>
      <c r="F17" s="74">
        <f>'Detailed P&amp;L'!E58</f>
        <v>0</v>
      </c>
      <c r="G17" s="74">
        <f>'Detailed P&amp;L'!F58</f>
        <v>0</v>
      </c>
      <c r="H17" s="74">
        <f>'Detailed P&amp;L'!G58</f>
        <v>0</v>
      </c>
      <c r="I17" s="74">
        <f>'Detailed P&amp;L'!H58</f>
        <v>0</v>
      </c>
      <c r="J17" s="74">
        <f>'Detailed P&amp;L'!I58</f>
        <v>0</v>
      </c>
      <c r="K17" s="74">
        <f>'Detailed P&amp;L'!J58</f>
        <v>0</v>
      </c>
      <c r="L17" s="74">
        <f>'Detailed P&amp;L'!K58</f>
        <v>0</v>
      </c>
      <c r="M17" s="74">
        <f>'Detailed P&amp;L'!L58</f>
        <v>0</v>
      </c>
      <c r="N17" s="74">
        <f>'Detailed P&amp;L'!M58</f>
        <v>0</v>
      </c>
      <c r="O17" s="2"/>
    </row>
    <row r="18" ht="12.0" customHeight="1">
      <c r="A18" s="2"/>
      <c r="B18" s="79" t="s">
        <v>87</v>
      </c>
      <c r="C18" s="74">
        <f>'Detailed P&amp;L'!B63</f>
        <v>0</v>
      </c>
      <c r="D18" s="74">
        <f>'Detailed P&amp;L'!C63</f>
        <v>0</v>
      </c>
      <c r="E18" s="74">
        <f>'Detailed P&amp;L'!D63</f>
        <v>0</v>
      </c>
      <c r="F18" s="74">
        <f>'Detailed P&amp;L'!E63</f>
        <v>0</v>
      </c>
      <c r="G18" s="74">
        <f>'Detailed P&amp;L'!F63</f>
        <v>0</v>
      </c>
      <c r="H18" s="74">
        <f>'Detailed P&amp;L'!G63</f>
        <v>0</v>
      </c>
      <c r="I18" s="74">
        <f>'Detailed P&amp;L'!H63</f>
        <v>0</v>
      </c>
      <c r="J18" s="74">
        <f>'Detailed P&amp;L'!I63</f>
        <v>0</v>
      </c>
      <c r="K18" s="74">
        <f>'Detailed P&amp;L'!J63</f>
        <v>0</v>
      </c>
      <c r="L18" s="74">
        <f>'Detailed P&amp;L'!K63</f>
        <v>0</v>
      </c>
      <c r="M18" s="74">
        <f>'Detailed P&amp;L'!L63</f>
        <v>0</v>
      </c>
      <c r="N18" s="74">
        <f>'Detailed P&amp;L'!M63</f>
        <v>0</v>
      </c>
      <c r="O18" s="2"/>
    </row>
    <row r="19" ht="12.0" customHeight="1">
      <c r="A19" s="2"/>
      <c r="B19" s="79" t="s">
        <v>103</v>
      </c>
      <c r="C19" s="74">
        <f>'Detailed P&amp;L'!B80</f>
        <v>0</v>
      </c>
      <c r="D19" s="74">
        <f>'Detailed P&amp;L'!C80</f>
        <v>0</v>
      </c>
      <c r="E19" s="74">
        <f>'Detailed P&amp;L'!D80</f>
        <v>0</v>
      </c>
      <c r="F19" s="74">
        <f>'Detailed P&amp;L'!E80</f>
        <v>0</v>
      </c>
      <c r="G19" s="74">
        <f>'Detailed P&amp;L'!F80</f>
        <v>0</v>
      </c>
      <c r="H19" s="74">
        <f>'Detailed P&amp;L'!G80</f>
        <v>0</v>
      </c>
      <c r="I19" s="74">
        <f>'Detailed P&amp;L'!H80</f>
        <v>0</v>
      </c>
      <c r="J19" s="74">
        <f>'Detailed P&amp;L'!I80</f>
        <v>0</v>
      </c>
      <c r="K19" s="74">
        <f>'Detailed P&amp;L'!J80</f>
        <v>0</v>
      </c>
      <c r="L19" s="74">
        <f>'Detailed P&amp;L'!K80</f>
        <v>0</v>
      </c>
      <c r="M19" s="74">
        <f>'Detailed P&amp;L'!L80</f>
        <v>0</v>
      </c>
      <c r="N19" s="74">
        <f>'Detailed P&amp;L'!M80</f>
        <v>0</v>
      </c>
      <c r="O19" s="2"/>
    </row>
    <row r="20" ht="12.0" customHeight="1">
      <c r="A20" s="2"/>
      <c r="B20" s="79" t="s">
        <v>104</v>
      </c>
      <c r="C20" s="74">
        <f>'Detailed P&amp;L'!B91</f>
        <v>0</v>
      </c>
      <c r="D20" s="74">
        <f>'Detailed P&amp;L'!C91</f>
        <v>0</v>
      </c>
      <c r="E20" s="74">
        <f>'Detailed P&amp;L'!D91</f>
        <v>0</v>
      </c>
      <c r="F20" s="74">
        <f>'Detailed P&amp;L'!E91</f>
        <v>0</v>
      </c>
      <c r="G20" s="74">
        <f>'Detailed P&amp;L'!F91</f>
        <v>0</v>
      </c>
      <c r="H20" s="74">
        <f>'Detailed P&amp;L'!G91</f>
        <v>0</v>
      </c>
      <c r="I20" s="74">
        <f>'Detailed P&amp;L'!H91</f>
        <v>0</v>
      </c>
      <c r="J20" s="74">
        <f>'Detailed P&amp;L'!I91</f>
        <v>0</v>
      </c>
      <c r="K20" s="74">
        <f>'Detailed P&amp;L'!J91</f>
        <v>0</v>
      </c>
      <c r="L20" s="74">
        <f>'Detailed P&amp;L'!K91</f>
        <v>0</v>
      </c>
      <c r="M20" s="74">
        <f>'Detailed P&amp;L'!L91</f>
        <v>0</v>
      </c>
      <c r="N20" s="74">
        <f>'Detailed P&amp;L'!M91</f>
        <v>0</v>
      </c>
      <c r="O20" s="2"/>
    </row>
    <row r="21" ht="12.0" customHeight="1">
      <c r="A21" s="2"/>
      <c r="B21" s="79" t="s">
        <v>114</v>
      </c>
      <c r="C21" s="74">
        <f>'Detailed P&amp;L'!B100</f>
        <v>0</v>
      </c>
      <c r="D21" s="74">
        <f>'Detailed P&amp;L'!C100</f>
        <v>0</v>
      </c>
      <c r="E21" s="74">
        <f>'Detailed P&amp;L'!D100</f>
        <v>0</v>
      </c>
      <c r="F21" s="74">
        <f>'Detailed P&amp;L'!E100</f>
        <v>0</v>
      </c>
      <c r="G21" s="74">
        <f>'Detailed P&amp;L'!F100</f>
        <v>0</v>
      </c>
      <c r="H21" s="74">
        <f>'Detailed P&amp;L'!G100</f>
        <v>0</v>
      </c>
      <c r="I21" s="74">
        <f>'Detailed P&amp;L'!H100</f>
        <v>0</v>
      </c>
      <c r="J21" s="74">
        <f>'Detailed P&amp;L'!I100</f>
        <v>0</v>
      </c>
      <c r="K21" s="74">
        <f>'Detailed P&amp;L'!J100</f>
        <v>0</v>
      </c>
      <c r="L21" s="74">
        <f>'Detailed P&amp;L'!K100</f>
        <v>0</v>
      </c>
      <c r="M21" s="74">
        <f>'Detailed P&amp;L'!L100</f>
        <v>0</v>
      </c>
      <c r="N21" s="74">
        <f>'Detailed P&amp;L'!M100</f>
        <v>0</v>
      </c>
      <c r="O21" s="2"/>
    </row>
    <row r="22" ht="12.0" customHeight="1">
      <c r="A22" s="81" t="s">
        <v>117</v>
      </c>
      <c r="B22" s="82"/>
      <c r="C22" s="76">
        <f>'Detailed P&amp;L'!B101</f>
        <v>0</v>
      </c>
      <c r="D22" s="76">
        <f>'Detailed P&amp;L'!C101</f>
        <v>0</v>
      </c>
      <c r="E22" s="76">
        <f>'Detailed P&amp;L'!D101</f>
        <v>0</v>
      </c>
      <c r="F22" s="76">
        <f>'Detailed P&amp;L'!E101</f>
        <v>0</v>
      </c>
      <c r="G22" s="76">
        <f>'Detailed P&amp;L'!F101</f>
        <v>0</v>
      </c>
      <c r="H22" s="76">
        <f>'Detailed P&amp;L'!G101</f>
        <v>0</v>
      </c>
      <c r="I22" s="76">
        <f>'Detailed P&amp;L'!H101</f>
        <v>0</v>
      </c>
      <c r="J22" s="76">
        <f>'Detailed P&amp;L'!I101</f>
        <v>0</v>
      </c>
      <c r="K22" s="76">
        <f>'Detailed P&amp;L'!J101</f>
        <v>0</v>
      </c>
      <c r="L22" s="76">
        <f>'Detailed P&amp;L'!K101</f>
        <v>0</v>
      </c>
      <c r="M22" s="76">
        <f>'Detailed P&amp;L'!L101</f>
        <v>0</v>
      </c>
      <c r="N22" s="76">
        <f>'Detailed P&amp;L'!M101</f>
        <v>0</v>
      </c>
      <c r="O22" s="2"/>
    </row>
    <row r="23" ht="12.0" customHeight="1">
      <c r="A23" s="57" t="s">
        <v>125</v>
      </c>
      <c r="B23" s="83"/>
      <c r="C23" s="84">
        <f>'Detailed P&amp;L'!B102</f>
        <v>0</v>
      </c>
      <c r="D23" s="84">
        <f>'Detailed P&amp;L'!C102</f>
        <v>0</v>
      </c>
      <c r="E23" s="84">
        <f>'Detailed P&amp;L'!D102</f>
        <v>0</v>
      </c>
      <c r="F23" s="84">
        <f>'Detailed P&amp;L'!E102</f>
        <v>0</v>
      </c>
      <c r="G23" s="84">
        <f>'Detailed P&amp;L'!F102</f>
        <v>0</v>
      </c>
      <c r="H23" s="84">
        <f>'Detailed P&amp;L'!G102</f>
        <v>0</v>
      </c>
      <c r="I23" s="84">
        <f>'Detailed P&amp;L'!H102</f>
        <v>0</v>
      </c>
      <c r="J23" s="84">
        <f>'Detailed P&amp;L'!I102</f>
        <v>0</v>
      </c>
      <c r="K23" s="84">
        <f>'Detailed P&amp;L'!J102</f>
        <v>0</v>
      </c>
      <c r="L23" s="84">
        <f>'Detailed P&amp;L'!K102</f>
        <v>0</v>
      </c>
      <c r="M23" s="84">
        <f>'Detailed P&amp;L'!L102</f>
        <v>0</v>
      </c>
      <c r="N23" s="84">
        <f>'Detailed P&amp;L'!M102</f>
        <v>0</v>
      </c>
      <c r="O23" s="2"/>
    </row>
    <row r="24" ht="30.0" customHeight="1">
      <c r="A24" s="85" t="s">
        <v>119</v>
      </c>
      <c r="B24" s="86"/>
      <c r="C24" s="87">
        <f>'Detailed P&amp;L'!B103</f>
        <v>0</v>
      </c>
      <c r="D24" s="87">
        <f>'Detailed P&amp;L'!C103</f>
        <v>0</v>
      </c>
      <c r="E24" s="87">
        <f>'Detailed P&amp;L'!D103</f>
        <v>0</v>
      </c>
      <c r="F24" s="87">
        <f>'Detailed P&amp;L'!E103</f>
        <v>0</v>
      </c>
      <c r="G24" s="87">
        <f>'Detailed P&amp;L'!F103</f>
        <v>0</v>
      </c>
      <c r="H24" s="87">
        <f>'Detailed P&amp;L'!G103</f>
        <v>0</v>
      </c>
      <c r="I24" s="87">
        <f>'Detailed P&amp;L'!H103</f>
        <v>0</v>
      </c>
      <c r="J24" s="87">
        <f>'Detailed P&amp;L'!I103</f>
        <v>0</v>
      </c>
      <c r="K24" s="87">
        <f>'Detailed P&amp;L'!J103</f>
        <v>0</v>
      </c>
      <c r="L24" s="87">
        <f>'Detailed P&amp;L'!K103</f>
        <v>0</v>
      </c>
      <c r="M24" s="87">
        <f>'Detailed P&amp;L'!L103</f>
        <v>0</v>
      </c>
      <c r="N24" s="87">
        <f>'Detailed P&amp;L'!M103</f>
        <v>0</v>
      </c>
      <c r="O24" s="2"/>
    </row>
    <row r="25" ht="12.0" customHeight="1">
      <c r="A25" s="88" t="s">
        <v>126</v>
      </c>
      <c r="B25" s="89"/>
      <c r="C25" s="2"/>
      <c r="D25" s="2"/>
      <c r="E25" s="2"/>
      <c r="F25" s="2"/>
      <c r="G25" s="2"/>
      <c r="H25" s="2"/>
      <c r="I25" s="2"/>
      <c r="J25" s="2"/>
      <c r="K25" s="2"/>
      <c r="L25" s="2"/>
      <c r="M25" s="2"/>
      <c r="N25" s="2"/>
      <c r="O25" s="2"/>
    </row>
    <row r="26" ht="12.0" customHeight="1">
      <c r="A26" s="2"/>
      <c r="B26" s="2"/>
      <c r="C26" s="2"/>
      <c r="D26" s="2"/>
      <c r="E26" s="2"/>
      <c r="F26" s="2"/>
      <c r="G26" s="2"/>
      <c r="H26" s="2"/>
      <c r="I26" s="2"/>
      <c r="J26" s="2"/>
      <c r="K26" s="2"/>
      <c r="L26" s="2"/>
      <c r="M26" s="2"/>
      <c r="N26" s="2"/>
      <c r="O26" s="2"/>
    </row>
    <row r="27" ht="24.75" customHeight="1">
      <c r="A27" s="3" t="s">
        <v>127</v>
      </c>
      <c r="C27" s="90" t="str">
        <f t="shared" ref="C27:N27" si="1">C12/C10</f>
        <v>#DIV/0!</v>
      </c>
      <c r="D27" s="90" t="str">
        <f t="shared" si="1"/>
        <v>#DIV/0!</v>
      </c>
      <c r="E27" s="90" t="str">
        <f t="shared" si="1"/>
        <v>#DIV/0!</v>
      </c>
      <c r="F27" s="90" t="str">
        <f t="shared" si="1"/>
        <v>#DIV/0!</v>
      </c>
      <c r="G27" s="90" t="str">
        <f t="shared" si="1"/>
        <v>#DIV/0!</v>
      </c>
      <c r="H27" s="90" t="str">
        <f t="shared" si="1"/>
        <v>#DIV/0!</v>
      </c>
      <c r="I27" s="90" t="str">
        <f t="shared" si="1"/>
        <v>#DIV/0!</v>
      </c>
      <c r="J27" s="90" t="str">
        <f t="shared" si="1"/>
        <v>#DIV/0!</v>
      </c>
      <c r="K27" s="90" t="str">
        <f t="shared" si="1"/>
        <v>#DIV/0!</v>
      </c>
      <c r="L27" s="90" t="str">
        <f t="shared" si="1"/>
        <v>#DIV/0!</v>
      </c>
      <c r="M27" s="90" t="str">
        <f t="shared" si="1"/>
        <v>#DIV/0!</v>
      </c>
      <c r="N27" s="90" t="str">
        <f t="shared" si="1"/>
        <v>#DIV/0!</v>
      </c>
      <c r="O27" s="2"/>
    </row>
    <row r="28" ht="26.25" customHeight="1">
      <c r="A28" s="3" t="s">
        <v>128</v>
      </c>
      <c r="C28" s="90" t="str">
        <f t="shared" ref="C28:N28" si="2">C23/C10</f>
        <v>#DIV/0!</v>
      </c>
      <c r="D28" s="90" t="str">
        <f t="shared" si="2"/>
        <v>#DIV/0!</v>
      </c>
      <c r="E28" s="90" t="str">
        <f t="shared" si="2"/>
        <v>#DIV/0!</v>
      </c>
      <c r="F28" s="90" t="str">
        <f t="shared" si="2"/>
        <v>#DIV/0!</v>
      </c>
      <c r="G28" s="90" t="str">
        <f t="shared" si="2"/>
        <v>#DIV/0!</v>
      </c>
      <c r="H28" s="90" t="str">
        <f t="shared" si="2"/>
        <v>#DIV/0!</v>
      </c>
      <c r="I28" s="90" t="str">
        <f t="shared" si="2"/>
        <v>#DIV/0!</v>
      </c>
      <c r="J28" s="90" t="str">
        <f t="shared" si="2"/>
        <v>#DIV/0!</v>
      </c>
      <c r="K28" s="90" t="str">
        <f t="shared" si="2"/>
        <v>#DIV/0!</v>
      </c>
      <c r="L28" s="90" t="str">
        <f t="shared" si="2"/>
        <v>#DIV/0!</v>
      </c>
      <c r="M28" s="90" t="str">
        <f t="shared" si="2"/>
        <v>#DIV/0!</v>
      </c>
      <c r="N28" s="90" t="str">
        <f t="shared" si="2"/>
        <v>#DIV/0!</v>
      </c>
      <c r="O28" s="2"/>
    </row>
    <row r="29" ht="12.0" customHeight="1">
      <c r="A29" s="2"/>
      <c r="O29" s="2"/>
    </row>
    <row r="30" ht="38.25" customHeight="1">
      <c r="A30" s="3" t="s">
        <v>129</v>
      </c>
      <c r="C30" s="90" t="str">
        <f t="shared" ref="C30:N30" si="3">(C10-C11)/C11</f>
        <v>#DIV/0!</v>
      </c>
      <c r="D30" s="90" t="str">
        <f t="shared" si="3"/>
        <v>#DIV/0!</v>
      </c>
      <c r="E30" s="90" t="str">
        <f t="shared" si="3"/>
        <v>#DIV/0!</v>
      </c>
      <c r="F30" s="90" t="str">
        <f t="shared" si="3"/>
        <v>#DIV/0!</v>
      </c>
      <c r="G30" s="90" t="str">
        <f t="shared" si="3"/>
        <v>#DIV/0!</v>
      </c>
      <c r="H30" s="90" t="str">
        <f t="shared" si="3"/>
        <v>#DIV/0!</v>
      </c>
      <c r="I30" s="90" t="str">
        <f t="shared" si="3"/>
        <v>#DIV/0!</v>
      </c>
      <c r="J30" s="90" t="str">
        <f t="shared" si="3"/>
        <v>#DIV/0!</v>
      </c>
      <c r="K30" s="90" t="str">
        <f t="shared" si="3"/>
        <v>#DIV/0!</v>
      </c>
      <c r="L30" s="90" t="str">
        <f t="shared" si="3"/>
        <v>#DIV/0!</v>
      </c>
      <c r="M30" s="90" t="str">
        <f t="shared" si="3"/>
        <v>#DIV/0!</v>
      </c>
      <c r="N30" s="90" t="str">
        <f t="shared" si="3"/>
        <v>#DIV/0!</v>
      </c>
      <c r="O30" s="2"/>
    </row>
    <row r="31" ht="12.0" customHeight="1">
      <c r="O31" s="2"/>
    </row>
    <row r="32" ht="40.5" customHeight="1">
      <c r="A32" s="3" t="s">
        <v>130</v>
      </c>
      <c r="C32" s="90" t="str">
        <f t="shared" ref="C32:N32" si="4">C22/(1-(C11/C10))</f>
        <v>#DIV/0!</v>
      </c>
      <c r="D32" s="90" t="str">
        <f t="shared" si="4"/>
        <v>#DIV/0!</v>
      </c>
      <c r="E32" s="90" t="str">
        <f t="shared" si="4"/>
        <v>#DIV/0!</v>
      </c>
      <c r="F32" s="90" t="str">
        <f t="shared" si="4"/>
        <v>#DIV/0!</v>
      </c>
      <c r="G32" s="90" t="str">
        <f t="shared" si="4"/>
        <v>#DIV/0!</v>
      </c>
      <c r="H32" s="90" t="str">
        <f t="shared" si="4"/>
        <v>#DIV/0!</v>
      </c>
      <c r="I32" s="90" t="str">
        <f t="shared" si="4"/>
        <v>#DIV/0!</v>
      </c>
      <c r="J32" s="90" t="str">
        <f t="shared" si="4"/>
        <v>#DIV/0!</v>
      </c>
      <c r="K32" s="90" t="str">
        <f t="shared" si="4"/>
        <v>#DIV/0!</v>
      </c>
      <c r="L32" s="90" t="str">
        <f t="shared" si="4"/>
        <v>#DIV/0!</v>
      </c>
      <c r="M32" s="90" t="str">
        <f t="shared" si="4"/>
        <v>#DIV/0!</v>
      </c>
      <c r="N32" s="90" t="str">
        <f t="shared" si="4"/>
        <v>#DIV/0!</v>
      </c>
      <c r="O32" s="2"/>
    </row>
    <row r="33" ht="12.0" customHeight="1">
      <c r="A33" s="2"/>
      <c r="B33" s="2"/>
      <c r="C33" s="2"/>
      <c r="D33" s="2"/>
      <c r="E33" s="2"/>
      <c r="F33" s="2"/>
      <c r="G33" s="2"/>
      <c r="H33" s="2"/>
      <c r="I33" s="2"/>
      <c r="J33" s="2"/>
      <c r="K33" s="2"/>
      <c r="L33" s="2"/>
      <c r="M33" s="2"/>
      <c r="N33" s="2"/>
      <c r="O33" s="2"/>
    </row>
    <row r="34" ht="12.0" customHeight="1">
      <c r="B34" s="91"/>
    </row>
    <row r="35" ht="12.0" customHeight="1">
      <c r="B35" s="91"/>
    </row>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9">
    <mergeCell ref="A30:B30"/>
    <mergeCell ref="A32:B32"/>
    <mergeCell ref="A6:B6"/>
    <mergeCell ref="A22:B22"/>
    <mergeCell ref="A24:B24"/>
    <mergeCell ref="A25:B25"/>
    <mergeCell ref="A27:B27"/>
    <mergeCell ref="A28:B28"/>
    <mergeCell ref="A29:C29"/>
  </mergeCells>
  <printOptions/>
  <pageMargins bottom="0.984251968503937" footer="0.0" header="0.0" left="0.26" right="0.14" top="0.984251968503937"/>
  <pageSetup paperSize="9"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23.13"/>
    <col customWidth="1" min="3" max="3" width="14.63"/>
    <col customWidth="1" min="4" max="4" width="13.88"/>
    <col customWidth="1" min="5" max="5" width="14.63"/>
    <col customWidth="1" min="6" max="26" width="8.88"/>
  </cols>
  <sheetData>
    <row r="1" ht="12.0" customHeight="1">
      <c r="A1" s="1" t="s">
        <v>131</v>
      </c>
    </row>
    <row r="2" ht="15.0" customHeight="1">
      <c r="B2" s="92" t="s">
        <v>3</v>
      </c>
      <c r="C2" s="93"/>
      <c r="D2" s="93"/>
      <c r="E2" s="94"/>
      <c r="F2" s="95"/>
    </row>
    <row r="3" ht="15.0" customHeight="1">
      <c r="B3" s="96" t="s">
        <v>132</v>
      </c>
      <c r="C3" s="97"/>
      <c r="D3" s="97"/>
      <c r="E3" s="98"/>
      <c r="F3" s="95"/>
    </row>
    <row r="4" ht="15.0" customHeight="1">
      <c r="B4" s="96" t="s">
        <v>133</v>
      </c>
      <c r="C4" s="97"/>
      <c r="D4" s="97"/>
      <c r="E4" s="98"/>
      <c r="F4" s="95"/>
    </row>
    <row r="5" ht="15.0" customHeight="1">
      <c r="B5" s="96" t="s">
        <v>134</v>
      </c>
      <c r="D5" s="99"/>
      <c r="E5" s="100"/>
      <c r="F5" s="95"/>
    </row>
    <row r="6" ht="12.0" customHeight="1">
      <c r="B6" s="101" t="s">
        <v>135</v>
      </c>
      <c r="C6" s="102">
        <v>5100.0</v>
      </c>
      <c r="D6" s="99"/>
      <c r="E6" s="100"/>
      <c r="F6" s="95"/>
    </row>
    <row r="7" ht="12.0" customHeight="1">
      <c r="B7" s="101" t="s">
        <v>136</v>
      </c>
      <c r="C7" s="102">
        <v>18000.0</v>
      </c>
      <c r="D7" s="103"/>
      <c r="E7" s="104"/>
      <c r="F7" s="95"/>
    </row>
    <row r="8" ht="12.0" customHeight="1">
      <c r="B8" s="101" t="s">
        <v>137</v>
      </c>
      <c r="C8" s="102">
        <v>3120.0</v>
      </c>
      <c r="D8" s="103"/>
      <c r="E8" s="104"/>
      <c r="F8" s="95"/>
    </row>
    <row r="9" ht="17.25" customHeight="1">
      <c r="B9" s="105" t="s">
        <v>138</v>
      </c>
      <c r="C9" s="106"/>
      <c r="D9" s="107">
        <v>26220.0</v>
      </c>
      <c r="E9" s="108"/>
      <c r="F9" s="95"/>
    </row>
    <row r="10" ht="19.5" customHeight="1">
      <c r="B10" s="96" t="s">
        <v>139</v>
      </c>
      <c r="D10" s="109"/>
      <c r="E10" s="110"/>
      <c r="F10" s="95"/>
    </row>
    <row r="11" ht="18.0" customHeight="1">
      <c r="B11" s="101" t="s">
        <v>140</v>
      </c>
      <c r="C11" s="111">
        <v>5500.0</v>
      </c>
      <c r="D11" s="109"/>
      <c r="E11" s="110"/>
      <c r="F11" s="95"/>
    </row>
    <row r="12" ht="19.5" customHeight="1">
      <c r="B12" s="101" t="s">
        <v>141</v>
      </c>
      <c r="C12" s="111">
        <v>8100.0</v>
      </c>
      <c r="D12" s="109"/>
      <c r="E12" s="110"/>
      <c r="F12" s="95"/>
    </row>
    <row r="13" ht="18.0" customHeight="1">
      <c r="B13" s="101" t="s">
        <v>142</v>
      </c>
      <c r="C13" s="111">
        <v>15000.0</v>
      </c>
      <c r="D13" s="109"/>
      <c r="E13" s="110"/>
      <c r="F13" s="95"/>
    </row>
    <row r="14" ht="8.25" customHeight="1">
      <c r="B14" s="112"/>
      <c r="C14" s="113"/>
      <c r="E14" s="114"/>
      <c r="F14" s="95"/>
    </row>
    <row r="15" ht="21.75" customHeight="1">
      <c r="B15" s="115" t="s">
        <v>143</v>
      </c>
      <c r="D15" s="111">
        <v>28600.0</v>
      </c>
      <c r="E15" s="110"/>
      <c r="F15" s="95"/>
    </row>
    <row r="16" ht="12.0" customHeight="1">
      <c r="B16" s="105" t="s">
        <v>144</v>
      </c>
      <c r="C16" s="106"/>
      <c r="D16" s="116">
        <v>54820.0</v>
      </c>
      <c r="E16" s="117"/>
      <c r="F16" s="95"/>
    </row>
    <row r="17" ht="24.0" customHeight="1">
      <c r="B17" s="96" t="s">
        <v>145</v>
      </c>
      <c r="D17" s="109"/>
      <c r="E17" s="110"/>
      <c r="F17" s="95"/>
    </row>
    <row r="18" ht="20.25" customHeight="1">
      <c r="B18" s="101" t="s">
        <v>146</v>
      </c>
      <c r="C18" s="111">
        <v>5500.0</v>
      </c>
      <c r="D18" s="109"/>
      <c r="E18" s="110"/>
      <c r="F18" s="95"/>
    </row>
    <row r="19" ht="18.0" customHeight="1">
      <c r="B19" s="101" t="s">
        <v>147</v>
      </c>
      <c r="C19" s="111">
        <v>4120.0</v>
      </c>
      <c r="D19" s="109"/>
      <c r="E19" s="110"/>
      <c r="F19" s="95"/>
    </row>
    <row r="20" ht="18.75" customHeight="1">
      <c r="B20" s="118" t="s">
        <v>148</v>
      </c>
      <c r="C20" s="106"/>
      <c r="D20" s="119">
        <v>9620.0</v>
      </c>
      <c r="E20" s="117"/>
      <c r="F20" s="95"/>
    </row>
    <row r="21" ht="23.25" customHeight="1">
      <c r="B21" s="96" t="s">
        <v>149</v>
      </c>
      <c r="D21" s="109"/>
      <c r="E21" s="110"/>
      <c r="F21" s="95"/>
    </row>
    <row r="22" ht="23.25" customHeight="1">
      <c r="B22" s="115" t="s">
        <v>150</v>
      </c>
      <c r="D22" s="120"/>
      <c r="E22" s="110"/>
      <c r="F22" s="95"/>
    </row>
    <row r="23" ht="19.5" customHeight="1">
      <c r="B23" s="96" t="s">
        <v>151</v>
      </c>
      <c r="D23" s="121">
        <v>9620.0</v>
      </c>
      <c r="E23" s="110"/>
      <c r="F23" s="95"/>
    </row>
    <row r="24" ht="12.0" customHeight="1">
      <c r="B24" s="122" t="s">
        <v>152</v>
      </c>
      <c r="C24" s="123"/>
      <c r="D24" s="124"/>
      <c r="E24" s="125">
        <v>45200.0</v>
      </c>
      <c r="F24" s="95"/>
    </row>
    <row r="25" ht="18.0" customHeight="1">
      <c r="B25" s="96" t="s">
        <v>153</v>
      </c>
      <c r="D25" s="109"/>
      <c r="E25" s="126"/>
      <c r="F25" s="95"/>
    </row>
    <row r="26" ht="15.0" customHeight="1">
      <c r="B26" s="101" t="s">
        <v>154</v>
      </c>
      <c r="C26" s="127"/>
      <c r="D26" s="111">
        <v>40000.0</v>
      </c>
      <c r="E26" s="126"/>
      <c r="F26" s="95"/>
    </row>
    <row r="27" ht="15.0" customHeight="1">
      <c r="B27" s="101" t="s">
        <v>155</v>
      </c>
      <c r="C27" s="127"/>
      <c r="D27" s="111">
        <v>5200.0</v>
      </c>
      <c r="E27" s="126"/>
      <c r="F27" s="95"/>
    </row>
    <row r="28" ht="30.0" customHeight="1">
      <c r="B28" s="128" t="s">
        <v>156</v>
      </c>
      <c r="C28" s="129"/>
      <c r="D28" s="129"/>
      <c r="E28" s="130">
        <v>45200.0</v>
      </c>
      <c r="F28" s="95"/>
    </row>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3">
    <mergeCell ref="B17:C17"/>
    <mergeCell ref="B21:C21"/>
    <mergeCell ref="B22:C22"/>
    <mergeCell ref="B23:C23"/>
    <mergeCell ref="B24:C24"/>
    <mergeCell ref="B25:C25"/>
    <mergeCell ref="B5:C5"/>
    <mergeCell ref="B10:C10"/>
    <mergeCell ref="B13:B14"/>
    <mergeCell ref="C13:C14"/>
    <mergeCell ref="D13:D14"/>
    <mergeCell ref="E13:E14"/>
    <mergeCell ref="B15:C15"/>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88"/>
    <col customWidth="1" min="3" max="3" width="51.88"/>
    <col customWidth="1" min="4" max="5" width="13.63"/>
    <col customWidth="1" min="6" max="6" width="13.5"/>
    <col customWidth="1" min="7" max="7" width="14.38"/>
    <col customWidth="1" min="8" max="8" width="5.38"/>
    <col customWidth="1" min="9" max="9" width="69.13"/>
    <col customWidth="1" min="10" max="26" width="8.88"/>
  </cols>
  <sheetData>
    <row r="1" ht="12.0" customHeight="1">
      <c r="A1" s="131" t="s">
        <v>132</v>
      </c>
      <c r="B1" s="132"/>
      <c r="C1" s="132"/>
      <c r="D1" s="1"/>
      <c r="E1" s="1"/>
      <c r="F1" s="1"/>
    </row>
    <row r="2" ht="12.0" customHeight="1">
      <c r="A2" s="133" t="s">
        <v>157</v>
      </c>
      <c r="B2" s="2"/>
      <c r="C2" s="2"/>
      <c r="D2" s="2"/>
      <c r="E2" s="2"/>
      <c r="F2" s="2"/>
      <c r="G2" s="2"/>
      <c r="H2" s="2"/>
      <c r="I2" s="2"/>
      <c r="J2" s="2"/>
      <c r="K2" s="2"/>
      <c r="L2" s="2"/>
      <c r="M2" s="2"/>
      <c r="N2" s="2"/>
      <c r="O2" s="2"/>
      <c r="P2" s="2"/>
      <c r="Q2" s="2"/>
      <c r="R2" s="2"/>
      <c r="S2" s="2"/>
      <c r="T2" s="2"/>
      <c r="U2" s="2"/>
      <c r="V2" s="2"/>
      <c r="W2" s="2"/>
      <c r="X2" s="2"/>
      <c r="Y2" s="2"/>
      <c r="Z2" s="2"/>
    </row>
    <row r="3" ht="12.0" customHeight="1">
      <c r="A3" s="90" t="s">
        <v>158</v>
      </c>
      <c r="B3" s="2"/>
      <c r="C3" s="2"/>
      <c r="D3" s="2"/>
      <c r="E3" s="2"/>
      <c r="F3" s="2"/>
      <c r="G3" s="2"/>
      <c r="H3" s="2"/>
      <c r="I3" s="2"/>
      <c r="J3" s="2"/>
      <c r="K3" s="2"/>
      <c r="L3" s="2"/>
      <c r="M3" s="2"/>
      <c r="N3" s="2"/>
      <c r="O3" s="2"/>
      <c r="P3" s="2"/>
      <c r="Q3" s="2"/>
      <c r="R3" s="2"/>
      <c r="S3" s="2"/>
      <c r="T3" s="2"/>
      <c r="U3" s="2"/>
      <c r="V3" s="2"/>
      <c r="W3" s="2"/>
      <c r="X3" s="2"/>
      <c r="Y3" s="2"/>
      <c r="Z3" s="2"/>
    </row>
    <row r="4" ht="12.0" customHeight="1">
      <c r="A4" s="2" t="s">
        <v>159</v>
      </c>
      <c r="B4" s="2"/>
      <c r="C4" s="2"/>
      <c r="D4" s="2"/>
      <c r="E4" s="2"/>
      <c r="F4" s="2"/>
      <c r="G4" s="2"/>
      <c r="H4" s="2"/>
      <c r="I4" s="2"/>
      <c r="J4" s="2"/>
      <c r="K4" s="2"/>
      <c r="L4" s="2"/>
      <c r="M4" s="2"/>
      <c r="N4" s="2"/>
      <c r="O4" s="2"/>
      <c r="P4" s="2"/>
      <c r="Q4" s="2"/>
      <c r="R4" s="2"/>
      <c r="S4" s="2"/>
      <c r="T4" s="2"/>
      <c r="U4" s="2"/>
      <c r="V4" s="2"/>
      <c r="W4" s="2"/>
      <c r="X4" s="2"/>
      <c r="Y4" s="2"/>
      <c r="Z4" s="2"/>
    </row>
    <row r="5" ht="12.0" customHeight="1">
      <c r="A5" s="2" t="s">
        <v>160</v>
      </c>
      <c r="B5" s="2"/>
      <c r="C5" s="2"/>
      <c r="D5" s="2"/>
      <c r="E5" s="2"/>
      <c r="F5" s="2"/>
      <c r="G5" s="2"/>
      <c r="H5" s="2"/>
      <c r="I5" s="2"/>
      <c r="J5" s="2"/>
      <c r="K5" s="2"/>
      <c r="L5" s="2"/>
      <c r="M5" s="2"/>
      <c r="N5" s="2"/>
      <c r="O5" s="2"/>
      <c r="P5" s="2"/>
      <c r="Q5" s="2"/>
      <c r="R5" s="2"/>
      <c r="S5" s="2"/>
      <c r="T5" s="2"/>
      <c r="U5" s="2"/>
      <c r="V5" s="2"/>
      <c r="W5" s="2"/>
      <c r="X5" s="2"/>
      <c r="Y5" s="2"/>
      <c r="Z5" s="2"/>
    </row>
    <row r="6" ht="12.0" customHeight="1">
      <c r="A6" s="2" t="s">
        <v>161</v>
      </c>
      <c r="B6" s="2"/>
      <c r="C6" s="2"/>
      <c r="D6" s="2"/>
      <c r="E6" s="2"/>
      <c r="F6" s="2"/>
      <c r="G6" s="2"/>
      <c r="H6" s="2"/>
      <c r="I6" s="2"/>
      <c r="J6" s="2"/>
      <c r="K6" s="2"/>
      <c r="L6" s="2"/>
      <c r="M6" s="2"/>
      <c r="N6" s="2"/>
      <c r="O6" s="2"/>
      <c r="P6" s="2"/>
      <c r="Q6" s="2"/>
      <c r="R6" s="2"/>
      <c r="S6" s="2"/>
      <c r="T6" s="2"/>
      <c r="U6" s="2"/>
      <c r="V6" s="2"/>
      <c r="W6" s="2"/>
      <c r="X6" s="2"/>
      <c r="Y6" s="2"/>
      <c r="Z6" s="2"/>
    </row>
    <row r="7" ht="12.0" customHeight="1">
      <c r="A7" s="2" t="s">
        <v>162</v>
      </c>
      <c r="B7" s="2"/>
      <c r="C7" s="2"/>
      <c r="D7" s="2"/>
      <c r="E7" s="2"/>
      <c r="F7" s="2"/>
      <c r="G7" s="2"/>
      <c r="H7" s="2"/>
      <c r="I7" s="2"/>
      <c r="J7" s="2"/>
      <c r="K7" s="2"/>
      <c r="L7" s="2"/>
      <c r="M7" s="2"/>
      <c r="N7" s="2"/>
      <c r="O7" s="2"/>
      <c r="P7" s="2"/>
      <c r="Q7" s="2"/>
      <c r="R7" s="2"/>
      <c r="S7" s="2"/>
      <c r="T7" s="2"/>
      <c r="U7" s="2"/>
      <c r="V7" s="2"/>
      <c r="W7" s="2"/>
      <c r="X7" s="2"/>
      <c r="Y7" s="2"/>
      <c r="Z7" s="2"/>
    </row>
    <row r="8" ht="12.0" customHeight="1">
      <c r="A8" s="90" t="s">
        <v>163</v>
      </c>
      <c r="B8" s="2"/>
      <c r="C8" s="2"/>
      <c r="D8" s="2"/>
      <c r="E8" s="2"/>
      <c r="F8" s="2"/>
      <c r="G8" s="2"/>
      <c r="H8" s="2"/>
      <c r="I8" s="2"/>
      <c r="J8" s="2"/>
      <c r="K8" s="2"/>
      <c r="L8" s="2"/>
      <c r="M8" s="2"/>
      <c r="N8" s="2"/>
      <c r="O8" s="2"/>
      <c r="P8" s="2"/>
      <c r="Q8" s="2"/>
      <c r="R8" s="2"/>
      <c r="S8" s="2"/>
      <c r="T8" s="2"/>
      <c r="U8" s="2"/>
      <c r="V8" s="2"/>
      <c r="W8" s="2"/>
      <c r="X8" s="2"/>
      <c r="Y8" s="2"/>
      <c r="Z8" s="2"/>
    </row>
    <row r="9" ht="12.0" customHeight="1">
      <c r="A9" s="69" t="s">
        <v>44</v>
      </c>
      <c r="B9" s="134"/>
      <c r="C9" s="70"/>
      <c r="D9" s="135" t="s">
        <v>164</v>
      </c>
      <c r="E9" s="136">
        <f>'Summary P&amp;L'!H6</f>
        <v>43617</v>
      </c>
      <c r="F9" s="137">
        <f>'Summary P&amp;L'!N6</f>
        <v>43800</v>
      </c>
      <c r="G9" s="138"/>
      <c r="H9" s="138"/>
    </row>
    <row r="10" ht="12.0" customHeight="1">
      <c r="A10" s="133" t="s">
        <v>165</v>
      </c>
      <c r="B10" s="89"/>
      <c r="C10" s="89"/>
      <c r="D10" s="139"/>
      <c r="E10" s="139"/>
      <c r="F10" s="139"/>
      <c r="G10" s="138"/>
      <c r="H10" s="138"/>
    </row>
    <row r="11" ht="12.0" customHeight="1">
      <c r="A11" s="36" t="s">
        <v>134</v>
      </c>
      <c r="B11" s="45"/>
      <c r="C11" s="140"/>
      <c r="D11" s="140"/>
      <c r="E11" s="140"/>
      <c r="F11" s="141"/>
      <c r="G11" s="138"/>
      <c r="H11" s="138"/>
    </row>
    <row r="12" ht="12.0" customHeight="1">
      <c r="A12" s="75"/>
      <c r="B12" s="142" t="s">
        <v>166</v>
      </c>
      <c r="D12" s="143">
        <v>0.0</v>
      </c>
      <c r="E12" s="143">
        <v>0.0</v>
      </c>
      <c r="F12" s="143">
        <v>0.0</v>
      </c>
      <c r="G12" s="138"/>
      <c r="H12" s="138"/>
    </row>
    <row r="13" ht="12.0" customHeight="1">
      <c r="A13" s="75"/>
      <c r="B13" s="142" t="s">
        <v>136</v>
      </c>
      <c r="D13" s="143">
        <v>0.0</v>
      </c>
      <c r="E13" s="143">
        <v>0.0</v>
      </c>
      <c r="F13" s="143">
        <v>0.0</v>
      </c>
      <c r="G13" s="138"/>
      <c r="H13" s="138"/>
    </row>
    <row r="14" ht="12.0" customHeight="1">
      <c r="A14" s="75"/>
      <c r="B14" s="144" t="s">
        <v>167</v>
      </c>
      <c r="C14" s="145"/>
      <c r="D14" s="146" t="s">
        <v>45</v>
      </c>
      <c r="E14" s="146" t="s">
        <v>45</v>
      </c>
      <c r="F14" s="147" t="s">
        <v>45</v>
      </c>
      <c r="G14" s="138"/>
      <c r="H14" s="138"/>
    </row>
    <row r="15" ht="12.0" customHeight="1">
      <c r="A15" s="75"/>
      <c r="B15" s="54"/>
      <c r="C15" s="148" t="s">
        <v>168</v>
      </c>
      <c r="D15" s="143">
        <v>0.0</v>
      </c>
      <c r="E15" s="143">
        <v>0.0</v>
      </c>
      <c r="F15" s="143">
        <v>0.0</v>
      </c>
      <c r="G15" s="138"/>
      <c r="H15" s="138"/>
    </row>
    <row r="16" ht="12.0" customHeight="1">
      <c r="A16" s="75"/>
      <c r="B16" s="54"/>
      <c r="C16" s="149" t="s">
        <v>108</v>
      </c>
      <c r="D16" s="143">
        <v>0.0</v>
      </c>
      <c r="E16" s="143">
        <v>0.0</v>
      </c>
      <c r="F16" s="143">
        <v>0.0</v>
      </c>
      <c r="G16" s="138"/>
      <c r="H16" s="138"/>
      <c r="I16" s="138"/>
    </row>
    <row r="17" ht="12.0" customHeight="1">
      <c r="A17" s="75"/>
      <c r="B17" s="54"/>
      <c r="C17" s="149" t="s">
        <v>169</v>
      </c>
      <c r="D17" s="143">
        <v>0.0</v>
      </c>
      <c r="E17" s="143">
        <v>0.0</v>
      </c>
      <c r="F17" s="143">
        <v>0.0</v>
      </c>
      <c r="G17" s="138"/>
      <c r="H17" s="138"/>
      <c r="I17" s="138"/>
    </row>
    <row r="18" ht="12.0" customHeight="1">
      <c r="A18" s="75"/>
      <c r="B18" s="54"/>
      <c r="C18" s="149" t="s">
        <v>21</v>
      </c>
      <c r="D18" s="143">
        <v>0.0</v>
      </c>
      <c r="E18" s="143">
        <v>0.0</v>
      </c>
      <c r="F18" s="143">
        <v>0.0</v>
      </c>
      <c r="G18" s="138"/>
      <c r="H18" s="138"/>
      <c r="I18" s="138"/>
    </row>
    <row r="19" ht="12.0" customHeight="1">
      <c r="A19" s="75"/>
      <c r="B19" s="54"/>
      <c r="C19" s="150" t="s">
        <v>48</v>
      </c>
      <c r="D19" s="143">
        <v>0.0</v>
      </c>
      <c r="E19" s="143">
        <v>0.0</v>
      </c>
      <c r="F19" s="143">
        <v>0.0</v>
      </c>
      <c r="G19" s="138"/>
      <c r="H19" s="138"/>
      <c r="I19" s="138"/>
    </row>
    <row r="20" ht="12.0" customHeight="1">
      <c r="A20" s="75"/>
      <c r="B20" s="54"/>
      <c r="C20" s="48" t="s">
        <v>170</v>
      </c>
      <c r="D20" s="151">
        <f t="shared" ref="D20:F20" si="1">SUM(D15:D19)</f>
        <v>0</v>
      </c>
      <c r="E20" s="151">
        <f t="shared" si="1"/>
        <v>0</v>
      </c>
      <c r="F20" s="152">
        <f t="shared" si="1"/>
        <v>0</v>
      </c>
      <c r="G20" s="138"/>
      <c r="H20" s="138"/>
      <c r="I20" s="138"/>
    </row>
    <row r="21" ht="12.0" customHeight="1">
      <c r="A21" s="75"/>
      <c r="B21" s="153" t="s">
        <v>171</v>
      </c>
      <c r="C21" s="153"/>
      <c r="D21" s="146" t="s">
        <v>45</v>
      </c>
      <c r="E21" s="146" t="s">
        <v>45</v>
      </c>
      <c r="F21" s="147" t="s">
        <v>45</v>
      </c>
      <c r="G21" s="138"/>
      <c r="H21" s="138"/>
      <c r="I21" s="138"/>
    </row>
    <row r="22" ht="12.0" customHeight="1">
      <c r="A22" s="75"/>
      <c r="B22" s="54"/>
      <c r="C22" s="154" t="s">
        <v>172</v>
      </c>
      <c r="D22" s="143">
        <v>0.0</v>
      </c>
      <c r="E22" s="143">
        <v>0.0</v>
      </c>
      <c r="F22" s="143">
        <v>0.0</v>
      </c>
      <c r="G22" s="138"/>
      <c r="H22" s="138"/>
      <c r="I22" s="138"/>
    </row>
    <row r="23" ht="12.0" customHeight="1">
      <c r="A23" s="75"/>
      <c r="B23" s="54"/>
      <c r="C23" s="40" t="s">
        <v>173</v>
      </c>
      <c r="D23" s="143">
        <v>0.0</v>
      </c>
      <c r="E23" s="143">
        <v>0.0</v>
      </c>
      <c r="F23" s="143">
        <v>0.0</v>
      </c>
      <c r="G23" s="138"/>
      <c r="H23" s="138"/>
      <c r="I23" s="138"/>
    </row>
    <row r="24" ht="12.0" customHeight="1">
      <c r="A24" s="75"/>
      <c r="B24" s="54"/>
      <c r="C24" s="155" t="s">
        <v>48</v>
      </c>
      <c r="D24" s="143">
        <v>0.0</v>
      </c>
      <c r="E24" s="143">
        <v>0.0</v>
      </c>
      <c r="F24" s="143">
        <v>0.0</v>
      </c>
      <c r="G24" s="138"/>
      <c r="H24" s="138"/>
      <c r="I24" s="138"/>
    </row>
    <row r="25" ht="12.0" customHeight="1">
      <c r="A25" s="75"/>
      <c r="B25" s="54"/>
      <c r="C25" s="45" t="s">
        <v>174</v>
      </c>
      <c r="D25" s="53">
        <f t="shared" ref="D25:F25" si="2">SUM(D22:D24)</f>
        <v>0</v>
      </c>
      <c r="E25" s="53">
        <f t="shared" si="2"/>
        <v>0</v>
      </c>
      <c r="F25" s="156">
        <f t="shared" si="2"/>
        <v>0</v>
      </c>
      <c r="G25" s="138"/>
      <c r="H25" s="138"/>
      <c r="I25" s="138"/>
    </row>
    <row r="26" ht="12.0" customHeight="1">
      <c r="A26" s="75"/>
      <c r="B26" s="48" t="s">
        <v>175</v>
      </c>
      <c r="C26" s="48"/>
      <c r="D26" s="157">
        <v>0.0</v>
      </c>
      <c r="E26" s="157">
        <v>0.0</v>
      </c>
      <c r="F26" s="158">
        <v>0.0</v>
      </c>
      <c r="G26" s="138"/>
      <c r="H26" s="138"/>
      <c r="I26" s="138"/>
    </row>
    <row r="27" ht="12.0" customHeight="1">
      <c r="A27" s="75"/>
      <c r="B27" s="48" t="s">
        <v>176</v>
      </c>
      <c r="C27" s="48"/>
      <c r="D27" s="157">
        <v>0.0</v>
      </c>
      <c r="E27" s="157">
        <v>0.0</v>
      </c>
      <c r="F27" s="158">
        <v>0.0</v>
      </c>
      <c r="G27" s="138"/>
      <c r="H27" s="138"/>
      <c r="I27" s="138"/>
    </row>
    <row r="28" ht="12.0" customHeight="1">
      <c r="A28" s="159" t="s">
        <v>138</v>
      </c>
      <c r="B28" s="160"/>
      <c r="C28" s="161"/>
      <c r="D28" s="162">
        <f t="shared" ref="D28:F28" si="3">D12+D13+D20+D25+D26+D27</f>
        <v>0</v>
      </c>
      <c r="E28" s="162">
        <f t="shared" si="3"/>
        <v>0</v>
      </c>
      <c r="F28" s="162">
        <f t="shared" si="3"/>
        <v>0</v>
      </c>
      <c r="G28" s="138"/>
      <c r="H28" s="138"/>
      <c r="I28" s="138"/>
    </row>
    <row r="29" ht="12.0" customHeight="1">
      <c r="A29" s="59" t="s">
        <v>177</v>
      </c>
      <c r="B29" s="48"/>
      <c r="C29" s="54"/>
      <c r="D29" s="163" t="s">
        <v>45</v>
      </c>
      <c r="E29" s="163" t="s">
        <v>45</v>
      </c>
      <c r="F29" s="164" t="s">
        <v>45</v>
      </c>
      <c r="G29" s="138"/>
      <c r="H29" s="138"/>
      <c r="I29" s="138"/>
    </row>
    <row r="30" ht="12.0" customHeight="1">
      <c r="A30" s="59"/>
      <c r="B30" s="142" t="s">
        <v>140</v>
      </c>
      <c r="C30" s="54"/>
      <c r="D30" s="143">
        <v>0.0</v>
      </c>
      <c r="E30" s="143">
        <v>0.0</v>
      </c>
      <c r="F30" s="143">
        <v>0.0</v>
      </c>
      <c r="G30" s="138"/>
      <c r="H30" s="138"/>
      <c r="I30" s="138"/>
    </row>
    <row r="31" ht="12.0" customHeight="1">
      <c r="A31" s="59"/>
      <c r="B31" s="142" t="s">
        <v>141</v>
      </c>
      <c r="C31" s="54"/>
      <c r="D31" s="143">
        <v>0.0</v>
      </c>
      <c r="E31" s="143">
        <v>0.0</v>
      </c>
      <c r="F31" s="143">
        <v>0.0</v>
      </c>
      <c r="G31" s="138"/>
      <c r="H31" s="138"/>
      <c r="I31" s="138"/>
    </row>
    <row r="32" ht="12.0" customHeight="1">
      <c r="A32" s="59"/>
      <c r="B32" s="142" t="s">
        <v>142</v>
      </c>
      <c r="C32" s="54"/>
      <c r="D32" s="143">
        <v>0.0</v>
      </c>
      <c r="E32" s="143">
        <v>0.0</v>
      </c>
      <c r="F32" s="143">
        <v>0.0</v>
      </c>
      <c r="G32" s="138"/>
      <c r="H32" s="138"/>
      <c r="I32" s="138"/>
    </row>
    <row r="33" ht="12.0" customHeight="1">
      <c r="A33" s="59"/>
      <c r="B33" s="142" t="s">
        <v>178</v>
      </c>
      <c r="C33" s="54"/>
      <c r="D33" s="143">
        <v>0.0</v>
      </c>
      <c r="E33" s="143">
        <v>0.0</v>
      </c>
      <c r="F33" s="143">
        <v>0.0</v>
      </c>
      <c r="G33" s="138"/>
      <c r="H33" s="138"/>
      <c r="I33" s="138"/>
    </row>
    <row r="34" ht="12.0" customHeight="1">
      <c r="A34" s="59"/>
      <c r="B34" s="142" t="s">
        <v>179</v>
      </c>
      <c r="C34" s="54"/>
      <c r="D34" s="143">
        <v>0.0</v>
      </c>
      <c r="E34" s="143">
        <v>0.0</v>
      </c>
      <c r="F34" s="143">
        <v>0.0</v>
      </c>
      <c r="G34" s="138"/>
      <c r="H34" s="138"/>
      <c r="I34" s="138"/>
    </row>
    <row r="35" ht="12.0" customHeight="1">
      <c r="A35" s="59"/>
      <c r="B35" s="142" t="s">
        <v>180</v>
      </c>
      <c r="C35" s="54"/>
      <c r="D35" s="143">
        <v>0.0</v>
      </c>
      <c r="E35" s="143">
        <v>0.0</v>
      </c>
      <c r="F35" s="143">
        <v>0.0</v>
      </c>
      <c r="G35" s="138"/>
      <c r="H35" s="138"/>
      <c r="I35" s="138"/>
    </row>
    <row r="36" ht="12.0" customHeight="1">
      <c r="A36" s="59"/>
      <c r="B36" s="142" t="s">
        <v>48</v>
      </c>
      <c r="C36" s="54"/>
      <c r="D36" s="143">
        <v>0.0</v>
      </c>
      <c r="E36" s="143">
        <v>0.0</v>
      </c>
      <c r="F36" s="143">
        <v>0.0</v>
      </c>
      <c r="G36" s="138"/>
      <c r="H36" s="138"/>
      <c r="I36" s="138"/>
    </row>
    <row r="37" ht="12.0" customHeight="1">
      <c r="A37" s="159" t="s">
        <v>181</v>
      </c>
      <c r="B37" s="160"/>
      <c r="C37" s="161"/>
      <c r="D37" s="162">
        <f t="shared" ref="D37:F37" si="4">SUM(D33:D36)</f>
        <v>0</v>
      </c>
      <c r="E37" s="162">
        <f t="shared" si="4"/>
        <v>0</v>
      </c>
      <c r="F37" s="162">
        <f t="shared" si="4"/>
        <v>0</v>
      </c>
      <c r="G37" s="138"/>
      <c r="H37" s="138"/>
      <c r="I37" s="138"/>
    </row>
    <row r="38" ht="23.25" customHeight="1">
      <c r="A38" s="13" t="s">
        <v>144</v>
      </c>
      <c r="B38" s="13"/>
      <c r="C38" s="13"/>
      <c r="D38" s="162">
        <f t="shared" ref="D38:F38" si="5">D28+D37</f>
        <v>0</v>
      </c>
      <c r="E38" s="162">
        <f t="shared" si="5"/>
        <v>0</v>
      </c>
      <c r="F38" s="162">
        <f t="shared" si="5"/>
        <v>0</v>
      </c>
      <c r="G38" s="138"/>
      <c r="H38" s="138"/>
      <c r="I38" s="138"/>
    </row>
    <row r="39" ht="12.0" customHeight="1">
      <c r="A39" s="133" t="s">
        <v>182</v>
      </c>
      <c r="B39" s="89"/>
      <c r="C39" s="89"/>
      <c r="D39" s="165"/>
      <c r="E39" s="165"/>
      <c r="F39" s="165"/>
      <c r="G39" s="138"/>
      <c r="H39" s="138"/>
      <c r="I39" s="138"/>
    </row>
    <row r="40" ht="12.0" customHeight="1">
      <c r="A40" s="48" t="s">
        <v>145</v>
      </c>
      <c r="B40" s="48"/>
      <c r="C40" s="54"/>
      <c r="D40" s="54"/>
      <c r="E40" s="54"/>
      <c r="F40" s="166"/>
      <c r="G40" s="138"/>
      <c r="H40" s="138"/>
      <c r="I40" s="138"/>
    </row>
    <row r="41" ht="12.0" customHeight="1">
      <c r="A41" s="59"/>
      <c r="B41" s="142" t="s">
        <v>183</v>
      </c>
      <c r="C41" s="54"/>
      <c r="D41" s="157">
        <v>0.0</v>
      </c>
      <c r="E41" s="157">
        <v>0.0</v>
      </c>
      <c r="F41" s="157">
        <v>0.0</v>
      </c>
      <c r="G41" s="138"/>
      <c r="H41" s="138"/>
      <c r="I41" s="138"/>
    </row>
    <row r="42" ht="12.0" customHeight="1">
      <c r="A42" s="59"/>
      <c r="B42" s="142" t="s">
        <v>184</v>
      </c>
      <c r="C42" s="142"/>
      <c r="D42" s="157">
        <v>0.0</v>
      </c>
      <c r="E42" s="157">
        <v>0.0</v>
      </c>
      <c r="F42" s="157">
        <v>0.0</v>
      </c>
      <c r="G42" s="138"/>
      <c r="H42" s="138"/>
      <c r="I42" s="138"/>
    </row>
    <row r="43" ht="12.0" customHeight="1">
      <c r="A43" s="59"/>
      <c r="B43" s="142" t="s">
        <v>147</v>
      </c>
      <c r="C43" s="167"/>
      <c r="D43" s="157">
        <v>0.0</v>
      </c>
      <c r="E43" s="157">
        <v>0.0</v>
      </c>
      <c r="F43" s="157">
        <v>0.0</v>
      </c>
      <c r="G43" s="138"/>
      <c r="H43" s="138"/>
      <c r="I43" s="138"/>
    </row>
    <row r="44" ht="12.0" customHeight="1">
      <c r="A44" s="59"/>
      <c r="B44" s="142" t="s">
        <v>185</v>
      </c>
      <c r="C44" s="167"/>
      <c r="D44" s="157">
        <v>0.0</v>
      </c>
      <c r="E44" s="157">
        <v>0.0</v>
      </c>
      <c r="F44" s="157">
        <v>0.0</v>
      </c>
      <c r="G44" s="138"/>
      <c r="H44" s="138"/>
      <c r="I44" s="138"/>
    </row>
    <row r="45" ht="12.0" customHeight="1">
      <c r="A45" s="59"/>
      <c r="B45" s="142" t="s">
        <v>96</v>
      </c>
      <c r="C45" s="167"/>
      <c r="D45" s="157">
        <v>0.0</v>
      </c>
      <c r="E45" s="157">
        <v>0.0</v>
      </c>
      <c r="F45" s="157">
        <v>0.0</v>
      </c>
      <c r="G45" s="138"/>
      <c r="H45" s="138"/>
      <c r="I45" s="138"/>
    </row>
    <row r="46" ht="12.0" customHeight="1">
      <c r="A46" s="59"/>
      <c r="B46" s="142" t="s">
        <v>186</v>
      </c>
      <c r="C46" s="167"/>
      <c r="D46" s="157">
        <v>0.0</v>
      </c>
      <c r="E46" s="157">
        <v>0.0</v>
      </c>
      <c r="F46" s="157">
        <v>0.0</v>
      </c>
      <c r="G46" s="138"/>
      <c r="H46" s="138"/>
      <c r="I46" s="138"/>
    </row>
    <row r="47" ht="12.0" customHeight="1">
      <c r="A47" s="59"/>
      <c r="B47" s="142" t="s">
        <v>187</v>
      </c>
      <c r="C47" s="167"/>
      <c r="D47" s="157">
        <v>0.0</v>
      </c>
      <c r="E47" s="157">
        <v>0.0</v>
      </c>
      <c r="F47" s="157">
        <v>0.0</v>
      </c>
      <c r="G47" s="138"/>
      <c r="H47" s="138"/>
      <c r="I47" s="138"/>
    </row>
    <row r="48" ht="12.0" customHeight="1">
      <c r="A48" s="59"/>
      <c r="B48" s="142" t="s">
        <v>188</v>
      </c>
      <c r="C48" s="167"/>
      <c r="D48" s="157">
        <v>0.0</v>
      </c>
      <c r="E48" s="157">
        <v>0.0</v>
      </c>
      <c r="F48" s="157">
        <v>0.0</v>
      </c>
      <c r="G48" s="138"/>
      <c r="H48" s="138"/>
      <c r="I48" s="138"/>
    </row>
    <row r="49" ht="12.0" customHeight="1">
      <c r="A49" s="59"/>
      <c r="B49" s="142" t="s">
        <v>48</v>
      </c>
      <c r="C49" s="54"/>
      <c r="D49" s="157">
        <v>0.0</v>
      </c>
      <c r="E49" s="157">
        <v>0.0</v>
      </c>
      <c r="F49" s="157">
        <v>0.0</v>
      </c>
      <c r="G49" s="138"/>
      <c r="H49" s="138"/>
      <c r="I49" s="138"/>
    </row>
    <row r="50" ht="12.0" customHeight="1">
      <c r="A50" s="159" t="s">
        <v>148</v>
      </c>
      <c r="B50" s="160"/>
      <c r="C50" s="161"/>
      <c r="D50" s="162">
        <f t="shared" ref="D50:F50" si="6">SUM(D41:D49)</f>
        <v>0</v>
      </c>
      <c r="E50" s="162">
        <f t="shared" si="6"/>
        <v>0</v>
      </c>
      <c r="F50" s="162">
        <f t="shared" si="6"/>
        <v>0</v>
      </c>
      <c r="G50" s="138"/>
      <c r="H50" s="138"/>
      <c r="I50" s="138"/>
    </row>
    <row r="51" ht="12.0" customHeight="1">
      <c r="A51" s="168" t="s">
        <v>189</v>
      </c>
      <c r="B51" s="153"/>
      <c r="C51" s="169"/>
      <c r="D51" s="169"/>
      <c r="E51" s="169"/>
      <c r="F51" s="169"/>
      <c r="G51" s="138"/>
      <c r="H51" s="138"/>
      <c r="I51" s="138"/>
    </row>
    <row r="52" ht="12.0" customHeight="1">
      <c r="A52" s="59"/>
      <c r="B52" s="142" t="s">
        <v>190</v>
      </c>
      <c r="C52" s="170"/>
      <c r="D52" s="157">
        <v>0.0</v>
      </c>
      <c r="E52" s="157">
        <v>0.0</v>
      </c>
      <c r="F52" s="157">
        <v>0.0</v>
      </c>
      <c r="G52" s="138"/>
      <c r="H52" s="138"/>
      <c r="I52" s="138"/>
    </row>
    <row r="53" ht="12.0" customHeight="1">
      <c r="A53" s="59"/>
      <c r="B53" s="142" t="s">
        <v>191</v>
      </c>
      <c r="C53" s="171"/>
      <c r="D53" s="157">
        <v>0.0</v>
      </c>
      <c r="E53" s="157">
        <v>0.0</v>
      </c>
      <c r="F53" s="157">
        <v>0.0</v>
      </c>
      <c r="G53" s="138"/>
      <c r="H53" s="138"/>
      <c r="I53" s="138"/>
    </row>
    <row r="54" ht="12.0" customHeight="1">
      <c r="A54" s="59"/>
      <c r="B54" s="142" t="s">
        <v>192</v>
      </c>
      <c r="C54" s="54"/>
      <c r="D54" s="157">
        <v>0.0</v>
      </c>
      <c r="E54" s="157">
        <v>0.0</v>
      </c>
      <c r="F54" s="157">
        <v>0.0</v>
      </c>
      <c r="G54" s="138"/>
      <c r="H54" s="138"/>
      <c r="I54" s="138"/>
    </row>
    <row r="55" ht="12.0" customHeight="1">
      <c r="A55" s="159" t="s">
        <v>193</v>
      </c>
      <c r="B55" s="160"/>
      <c r="C55" s="161"/>
      <c r="D55" s="162">
        <f t="shared" ref="D55:F55" si="7">SUM(D52:D54)</f>
        <v>0</v>
      </c>
      <c r="E55" s="162">
        <f t="shared" si="7"/>
        <v>0</v>
      </c>
      <c r="F55" s="162">
        <f t="shared" si="7"/>
        <v>0</v>
      </c>
      <c r="G55" s="138"/>
      <c r="H55" s="138"/>
      <c r="I55" s="138"/>
    </row>
    <row r="56" ht="21.0" customHeight="1">
      <c r="A56" s="13" t="s">
        <v>151</v>
      </c>
      <c r="B56" s="13"/>
      <c r="C56" s="13"/>
      <c r="D56" s="162">
        <f t="shared" ref="D56:F56" si="8">D50+D55</f>
        <v>0</v>
      </c>
      <c r="E56" s="162">
        <f t="shared" si="8"/>
        <v>0</v>
      </c>
      <c r="F56" s="162">
        <f t="shared" si="8"/>
        <v>0</v>
      </c>
      <c r="G56" s="138"/>
      <c r="H56" s="138"/>
      <c r="I56" s="138"/>
    </row>
    <row r="57" ht="24.75" customHeight="1">
      <c r="A57" s="13" t="s">
        <v>152</v>
      </c>
      <c r="B57" s="13"/>
      <c r="C57" s="13"/>
      <c r="D57" s="162">
        <f t="shared" ref="D57:F57" si="9">D38-D56</f>
        <v>0</v>
      </c>
      <c r="E57" s="162">
        <f t="shared" si="9"/>
        <v>0</v>
      </c>
      <c r="F57" s="162">
        <f t="shared" si="9"/>
        <v>0</v>
      </c>
      <c r="G57" s="138"/>
      <c r="H57" s="138"/>
      <c r="I57" s="138"/>
    </row>
    <row r="58" ht="12.0" customHeight="1">
      <c r="A58" s="133" t="s">
        <v>194</v>
      </c>
      <c r="B58" s="89"/>
      <c r="C58" s="89"/>
      <c r="D58" s="133"/>
      <c r="E58" s="133"/>
      <c r="F58" s="133"/>
      <c r="G58" s="138"/>
      <c r="H58" s="138"/>
      <c r="I58" s="138"/>
    </row>
    <row r="59" ht="12.0" customHeight="1">
      <c r="A59" s="54"/>
      <c r="B59" s="142" t="s">
        <v>195</v>
      </c>
      <c r="C59" s="171"/>
      <c r="D59" s="157">
        <v>0.0</v>
      </c>
      <c r="E59" s="157">
        <v>0.0</v>
      </c>
      <c r="F59" s="157">
        <v>0.0</v>
      </c>
      <c r="G59" s="138"/>
      <c r="H59" s="138"/>
      <c r="I59" s="138"/>
    </row>
    <row r="60" ht="12.0" customHeight="1">
      <c r="A60" s="54"/>
      <c r="B60" s="142" t="s">
        <v>196</v>
      </c>
      <c r="C60" s="171"/>
      <c r="D60" s="157">
        <v>0.0</v>
      </c>
      <c r="E60" s="157">
        <v>0.0</v>
      </c>
      <c r="F60" s="157">
        <v>0.0</v>
      </c>
    </row>
    <row r="61" ht="12.0" customHeight="1">
      <c r="A61" s="54"/>
      <c r="B61" s="142" t="s">
        <v>155</v>
      </c>
      <c r="C61" s="54"/>
      <c r="D61" s="157">
        <v>0.0</v>
      </c>
      <c r="E61" s="157">
        <v>0.0</v>
      </c>
      <c r="F61" s="157">
        <v>0.0</v>
      </c>
    </row>
    <row r="62" ht="23.25" customHeight="1">
      <c r="A62" s="13" t="s">
        <v>197</v>
      </c>
      <c r="B62" s="13"/>
      <c r="C62" s="13"/>
      <c r="D62" s="162">
        <f t="shared" ref="D62:F62" si="10">SUM(D59:D61)</f>
        <v>0</v>
      </c>
      <c r="E62" s="162">
        <f t="shared" si="10"/>
        <v>0</v>
      </c>
      <c r="F62" s="162">
        <f t="shared" si="10"/>
        <v>0</v>
      </c>
    </row>
    <row r="63" ht="12.0" customHeight="1">
      <c r="A63" s="133" t="s">
        <v>198</v>
      </c>
      <c r="B63" s="133"/>
      <c r="C63" s="133"/>
      <c r="D63" s="133"/>
      <c r="E63" s="133"/>
      <c r="F63" s="133"/>
      <c r="G63" s="54"/>
      <c r="H63" s="54"/>
      <c r="I63" s="54"/>
      <c r="J63" s="54"/>
      <c r="K63" s="54"/>
      <c r="L63" s="54"/>
      <c r="M63" s="54"/>
      <c r="N63" s="54"/>
      <c r="O63" s="54"/>
      <c r="P63" s="54"/>
      <c r="Q63" s="54"/>
      <c r="R63" s="54"/>
      <c r="S63" s="54"/>
      <c r="T63" s="54"/>
      <c r="U63" s="54"/>
      <c r="V63" s="54"/>
      <c r="W63" s="54"/>
      <c r="X63" s="54"/>
      <c r="Y63" s="54"/>
      <c r="Z63" s="54"/>
    </row>
    <row r="64" ht="12.0" customHeight="1"/>
    <row r="65" ht="20.25" customHeight="1">
      <c r="A65" s="14" t="s">
        <v>199</v>
      </c>
      <c r="B65" s="14"/>
      <c r="C65" s="14"/>
      <c r="D65" s="90" t="str">
        <f t="shared" ref="D65:F65" si="11">D28/D50</f>
        <v>#DIV/0!</v>
      </c>
      <c r="E65" s="90" t="str">
        <f t="shared" si="11"/>
        <v>#DIV/0!</v>
      </c>
      <c r="F65" s="90" t="str">
        <f t="shared" si="11"/>
        <v>#DIV/0!</v>
      </c>
    </row>
    <row r="66" ht="27.0" customHeight="1">
      <c r="A66" s="2" t="s">
        <v>200</v>
      </c>
      <c r="B66" s="2"/>
      <c r="C66" s="2"/>
      <c r="D66" s="55" t="str">
        <f t="shared" ref="D66:F66" si="12">(D28-D25) /(D50-D41)</f>
        <v>#DIV/0!</v>
      </c>
      <c r="E66" s="55" t="str">
        <f t="shared" si="12"/>
        <v>#DIV/0!</v>
      </c>
      <c r="F66" s="55" t="str">
        <f t="shared" si="12"/>
        <v>#DIV/0!</v>
      </c>
    </row>
    <row r="67" ht="24.0" customHeight="1">
      <c r="A67" s="2" t="s">
        <v>201</v>
      </c>
      <c r="B67" s="2"/>
      <c r="C67" s="2"/>
      <c r="D67" s="55">
        <f t="shared" ref="D67:F67" si="13">D28-D50</f>
        <v>0</v>
      </c>
      <c r="E67" s="55">
        <f t="shared" si="13"/>
        <v>0</v>
      </c>
      <c r="F67" s="55">
        <f t="shared" si="13"/>
        <v>0</v>
      </c>
    </row>
    <row r="68" ht="20.25" customHeight="1">
      <c r="A68" s="2" t="s">
        <v>202</v>
      </c>
      <c r="B68" s="2"/>
      <c r="C68" s="2"/>
      <c r="D68" s="90" t="str">
        <f t="shared" ref="D68:F68" si="14">D56/D38</f>
        <v>#DIV/0!</v>
      </c>
      <c r="E68" s="90" t="str">
        <f t="shared" si="14"/>
        <v>#DIV/0!</v>
      </c>
      <c r="F68" s="90" t="str">
        <f t="shared" si="14"/>
        <v>#DIV/0!</v>
      </c>
    </row>
    <row r="69" ht="27.0" customHeight="1">
      <c r="A69" s="2" t="s">
        <v>203</v>
      </c>
      <c r="B69" s="2"/>
      <c r="C69" s="2"/>
      <c r="D69" s="90" t="str">
        <f t="shared" ref="D69:F69" si="15">D56/D62</f>
        <v>#DIV/0!</v>
      </c>
      <c r="E69" s="90" t="str">
        <f t="shared" si="15"/>
        <v>#DIV/0!</v>
      </c>
      <c r="F69" s="90" t="str">
        <f t="shared" si="15"/>
        <v>#DIV/0!</v>
      </c>
    </row>
    <row r="70" ht="12.0" customHeight="1">
      <c r="A70" s="172"/>
    </row>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9">
    <mergeCell ref="A1:C1"/>
    <mergeCell ref="A9:C9"/>
    <mergeCell ref="A10:C10"/>
    <mergeCell ref="B12:C12"/>
    <mergeCell ref="B13:C13"/>
    <mergeCell ref="B14:C14"/>
    <mergeCell ref="A28:C28"/>
    <mergeCell ref="B48:C48"/>
    <mergeCell ref="A50:C50"/>
    <mergeCell ref="A55:C55"/>
    <mergeCell ref="A58:C58"/>
    <mergeCell ref="A70:C70"/>
    <mergeCell ref="A37:C37"/>
    <mergeCell ref="A39:C39"/>
    <mergeCell ref="B43:C43"/>
    <mergeCell ref="B44:C44"/>
    <mergeCell ref="B45:C45"/>
    <mergeCell ref="B46:C46"/>
    <mergeCell ref="B47:C47"/>
  </mergeCells>
  <printOptions/>
  <pageMargins bottom="0.984251968503937" footer="0.0" header="0.0" left="0.49" right="0.25" top="0.984251968503937"/>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0" customHeight="1">
      <c r="A1" s="1" t="s">
        <v>204</v>
      </c>
      <c r="B1" s="1"/>
      <c r="C1" s="1"/>
      <c r="D1" s="1"/>
    </row>
    <row r="2" ht="12.0" customHeight="1"/>
    <row r="3" ht="12.0" customHeight="1"/>
    <row r="4" ht="12.0" customHeight="1"/>
    <row r="5" ht="12.0" customHeight="1"/>
    <row r="6" ht="12.0" customHeight="1"/>
    <row r="7" ht="12.0" customHeight="1"/>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46.0"/>
    <col customWidth="1" min="3" max="3" width="16.13"/>
    <col customWidth="1" min="4" max="4" width="30.38"/>
    <col customWidth="1" min="5" max="26" width="8.88"/>
  </cols>
  <sheetData>
    <row r="1" ht="12.0" customHeight="1">
      <c r="A1" s="173" t="s">
        <v>205</v>
      </c>
      <c r="B1" s="174"/>
      <c r="C1" s="174"/>
      <c r="D1" s="54"/>
    </row>
    <row r="2" ht="12.0" customHeight="1">
      <c r="A2" s="175" t="s">
        <v>206</v>
      </c>
      <c r="B2" s="175"/>
      <c r="C2" s="175"/>
      <c r="D2" s="175" t="s">
        <v>207</v>
      </c>
      <c r="E2" s="133"/>
    </row>
    <row r="3" ht="12.0" customHeight="1">
      <c r="A3" s="168" t="s">
        <v>208</v>
      </c>
      <c r="B3" s="54"/>
      <c r="C3" s="163" t="s">
        <v>45</v>
      </c>
      <c r="D3" s="176" t="s">
        <v>209</v>
      </c>
      <c r="E3" s="177"/>
    </row>
    <row r="4" ht="12.0" customHeight="1">
      <c r="A4" s="54" t="s">
        <v>210</v>
      </c>
      <c r="B4" s="54" t="s">
        <v>211</v>
      </c>
      <c r="C4" s="157">
        <v>0.0</v>
      </c>
      <c r="D4" s="176" t="s">
        <v>212</v>
      </c>
      <c r="E4" s="177"/>
    </row>
    <row r="5" ht="12.0" customHeight="1">
      <c r="A5" s="54"/>
      <c r="B5" s="54" t="s">
        <v>213</v>
      </c>
      <c r="C5" s="157">
        <v>0.0</v>
      </c>
      <c r="D5" s="54"/>
    </row>
    <row r="6" ht="12.0" customHeight="1">
      <c r="A6" s="54" t="s">
        <v>214</v>
      </c>
      <c r="B6" s="54"/>
      <c r="C6" s="163" t="s">
        <v>45</v>
      </c>
      <c r="D6" s="54"/>
    </row>
    <row r="7" ht="12.0" customHeight="1">
      <c r="A7" s="54"/>
      <c r="B7" s="54" t="s">
        <v>215</v>
      </c>
      <c r="C7" s="157">
        <v>0.0</v>
      </c>
      <c r="D7" s="54"/>
    </row>
    <row r="8" ht="12.0" customHeight="1">
      <c r="A8" s="54" t="s">
        <v>216</v>
      </c>
      <c r="B8" s="54"/>
      <c r="C8" s="178" t="s">
        <v>45</v>
      </c>
      <c r="D8" s="54"/>
    </row>
    <row r="9" ht="12.0" customHeight="1">
      <c r="A9" s="54" t="s">
        <v>217</v>
      </c>
      <c r="B9" s="54" t="s">
        <v>117</v>
      </c>
      <c r="C9" s="157">
        <v>0.0</v>
      </c>
      <c r="D9" s="54"/>
    </row>
    <row r="10" ht="12.0" customHeight="1">
      <c r="A10" s="54"/>
      <c r="B10" s="54" t="s">
        <v>218</v>
      </c>
      <c r="C10" s="157">
        <v>0.0</v>
      </c>
      <c r="D10" s="54"/>
    </row>
    <row r="11" ht="12.0" customHeight="1">
      <c r="A11" s="54" t="s">
        <v>219</v>
      </c>
      <c r="B11" s="54"/>
      <c r="C11" s="178" t="s">
        <v>45</v>
      </c>
      <c r="D11" s="54"/>
    </row>
    <row r="12" ht="12.0" customHeight="1">
      <c r="A12" s="54"/>
      <c r="B12" s="54" t="s">
        <v>220</v>
      </c>
      <c r="C12" s="157">
        <v>0.0</v>
      </c>
      <c r="D12" s="54"/>
    </row>
    <row r="13" ht="12.0" customHeight="1">
      <c r="A13" s="13" t="s">
        <v>221</v>
      </c>
      <c r="B13" s="13"/>
      <c r="C13" s="162">
        <f>SUM(C4:C12)</f>
        <v>0</v>
      </c>
      <c r="D13" s="54"/>
    </row>
    <row r="14" ht="12.0" customHeight="1">
      <c r="A14" s="175" t="s">
        <v>222</v>
      </c>
      <c r="B14" s="175"/>
      <c r="C14" s="175"/>
      <c r="D14" s="54"/>
    </row>
    <row r="15" ht="12.0" customHeight="1">
      <c r="A15" s="168" t="s">
        <v>223</v>
      </c>
      <c r="B15" s="54"/>
      <c r="C15" s="163" t="s">
        <v>45</v>
      </c>
      <c r="D15" s="54"/>
    </row>
    <row r="16" ht="12.0" customHeight="1">
      <c r="A16" s="54" t="s">
        <v>210</v>
      </c>
      <c r="B16" s="54" t="s">
        <v>224</v>
      </c>
      <c r="C16" s="157">
        <v>0.0</v>
      </c>
      <c r="D16" s="54"/>
    </row>
    <row r="17" ht="12.0" customHeight="1">
      <c r="A17" s="54"/>
      <c r="B17" s="54" t="s">
        <v>225</v>
      </c>
      <c r="C17" s="157">
        <v>0.0</v>
      </c>
      <c r="D17" s="54"/>
    </row>
    <row r="18" ht="12.0" customHeight="1">
      <c r="A18" s="168" t="s">
        <v>216</v>
      </c>
      <c r="B18" s="54"/>
      <c r="C18" s="178" t="s">
        <v>45</v>
      </c>
      <c r="D18" s="54"/>
    </row>
    <row r="19" ht="12.0" customHeight="1">
      <c r="A19" s="54" t="s">
        <v>217</v>
      </c>
      <c r="B19" s="54" t="s">
        <v>226</v>
      </c>
      <c r="C19" s="157">
        <v>0.0</v>
      </c>
      <c r="D19" s="54"/>
    </row>
    <row r="20" ht="12.0" customHeight="1">
      <c r="A20" s="54"/>
      <c r="B20" s="54" t="s">
        <v>227</v>
      </c>
      <c r="C20" s="157">
        <v>0.0</v>
      </c>
      <c r="D20" s="54"/>
    </row>
    <row r="21" ht="12.0" customHeight="1">
      <c r="A21" s="13" t="s">
        <v>228</v>
      </c>
      <c r="B21" s="13"/>
      <c r="C21" s="162">
        <f>SUM(C15:C20)</f>
        <v>0</v>
      </c>
      <c r="D21" s="54"/>
    </row>
    <row r="22" ht="12.0" customHeight="1">
      <c r="A22" s="175" t="s">
        <v>229</v>
      </c>
      <c r="B22" s="175"/>
      <c r="C22" s="175"/>
      <c r="D22" s="54"/>
    </row>
    <row r="23" ht="12.0" customHeight="1">
      <c r="A23" s="179" t="s">
        <v>223</v>
      </c>
      <c r="B23" s="54"/>
      <c r="C23" s="180" t="s">
        <v>45</v>
      </c>
      <c r="D23" s="54"/>
    </row>
    <row r="24" ht="12.0" customHeight="1">
      <c r="A24" s="79" t="s">
        <v>210</v>
      </c>
      <c r="B24" s="79" t="s">
        <v>230</v>
      </c>
      <c r="C24" s="181">
        <v>0.0</v>
      </c>
      <c r="D24" s="54"/>
    </row>
    <row r="25" ht="12.0" customHeight="1">
      <c r="A25" s="54"/>
      <c r="B25" s="79" t="s">
        <v>231</v>
      </c>
      <c r="C25" s="181">
        <v>0.0</v>
      </c>
      <c r="D25" s="54"/>
    </row>
    <row r="26" ht="12.0" customHeight="1">
      <c r="A26" s="54"/>
      <c r="B26" s="79" t="s">
        <v>232</v>
      </c>
      <c r="C26" s="157">
        <v>0.0</v>
      </c>
      <c r="D26" s="54"/>
    </row>
    <row r="27" ht="12.0" customHeight="1">
      <c r="A27" s="182" t="s">
        <v>216</v>
      </c>
      <c r="B27" s="79"/>
      <c r="C27" s="180" t="s">
        <v>45</v>
      </c>
      <c r="D27" s="54"/>
    </row>
    <row r="28" ht="12.0" customHeight="1">
      <c r="A28" s="79" t="s">
        <v>217</v>
      </c>
      <c r="B28" s="79" t="s">
        <v>233</v>
      </c>
      <c r="C28" s="181">
        <v>0.0</v>
      </c>
      <c r="D28" s="54"/>
    </row>
    <row r="29" ht="12.0" customHeight="1">
      <c r="A29" s="54"/>
      <c r="B29" s="79" t="s">
        <v>234</v>
      </c>
      <c r="C29" s="181">
        <v>0.0</v>
      </c>
      <c r="D29" s="54"/>
    </row>
    <row r="30" ht="12.0" customHeight="1">
      <c r="A30" s="13" t="s">
        <v>235</v>
      </c>
      <c r="B30" s="13"/>
      <c r="C30" s="162">
        <f>SUM(C24:C29)</f>
        <v>0</v>
      </c>
      <c r="D30" s="54"/>
    </row>
    <row r="31" ht="12.0" customHeight="1">
      <c r="A31" s="13" t="s">
        <v>236</v>
      </c>
      <c r="B31" s="13"/>
      <c r="C31" s="162">
        <f>C13+C21+C30</f>
        <v>0</v>
      </c>
      <c r="D31" s="54"/>
    </row>
    <row r="32" ht="12.0" customHeight="1">
      <c r="A32" s="54"/>
      <c r="B32" s="176" t="s">
        <v>237</v>
      </c>
      <c r="C32" s="162">
        <f>E4+C31</f>
        <v>0</v>
      </c>
      <c r="D32" s="54"/>
    </row>
    <row r="33" ht="12.0" customHeight="1">
      <c r="A33" s="54"/>
      <c r="B33" s="54"/>
      <c r="C33" s="54"/>
      <c r="D33" s="54"/>
    </row>
    <row r="34" ht="12.0" customHeight="1">
      <c r="A34" s="54"/>
      <c r="B34" s="54"/>
      <c r="C34" s="54"/>
      <c r="D34" s="54"/>
    </row>
    <row r="35" ht="12.0" customHeight="1">
      <c r="A35" s="54"/>
      <c r="B35" s="54"/>
      <c r="C35" s="54"/>
      <c r="D35" s="54"/>
    </row>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paperSize="9" orientation="portrait"/>
  <drawing r:id="rId1"/>
</worksheet>
</file>